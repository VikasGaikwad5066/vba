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nvgaik\Desktop\VBA_Proj_2\Agilent_1\"/>
    </mc:Choice>
  </mc:AlternateContent>
  <xr:revisionPtr revIDLastSave="0" documentId="13_ncr:1_{43A44922-1189-4D56-B76C-4CCE8F7D31A4}" xr6:coauthVersionLast="47" xr6:coauthVersionMax="47" xr10:uidLastSave="{00000000-0000-0000-0000-000000000000}"/>
  <bookViews>
    <workbookView xWindow="-110" yWindow="-110" windowWidth="19420" windowHeight="10420" firstSheet="2" activeTab="4" xr2:uid="{5EC24145-B703-4140-8A5E-D8095FE5D1AD}"/>
  </bookViews>
  <sheets>
    <sheet name="Sheet2" sheetId="5" state="hidden" r:id="rId1"/>
    <sheet name="Sheet1" sheetId="1" state="hidden" r:id="rId2"/>
    <sheet name="Recon" sheetId="4" r:id="rId3"/>
    <sheet name="L00" sheetId="9" r:id="rId4"/>
    <sheet name="Pivot" sheetId="11" r:id="rId5"/>
    <sheet name="Sheet6" sheetId="8" state="hidden" r:id="rId6"/>
    <sheet name="Sheet3" sheetId="3" state="hidden" r:id="rId7"/>
  </sheets>
  <definedNames>
    <definedName name="_xlnm._FilterDatabase" localSheetId="3" hidden="1">L00!$A$1:$J$1</definedName>
    <definedName name="_xlnm._FilterDatabase" localSheetId="2" hidden="1">Recon!$A$2:$L$160</definedName>
    <definedName name="_xlnm._FilterDatabase" localSheetId="1" hidden="1">Sheet1!$A$2:$L$2</definedName>
  </definedNames>
  <calcPr calcId="191029"/>
  <pivotCaches>
    <pivotCache cacheId="0" r:id="rId8"/>
    <pivotCache cacheId="1" r:id="rId9"/>
    <pivotCache cacheId="6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4" l="1"/>
</calcChain>
</file>

<file path=xl/sharedStrings.xml><?xml version="1.0" encoding="utf-8"?>
<sst xmlns="http://schemas.openxmlformats.org/spreadsheetml/2006/main" count="1855" uniqueCount="406">
  <si>
    <t>SBI</t>
  </si>
  <si>
    <t>Reference String</t>
  </si>
  <si>
    <t>Line No.</t>
  </si>
  <si>
    <t>PackingSlipNo.</t>
  </si>
  <si>
    <t>Receipt Date</t>
  </si>
  <si>
    <t>PO Number</t>
  </si>
  <si>
    <t>Item No.</t>
  </si>
  <si>
    <t>Unit Price</t>
  </si>
  <si>
    <t>Quantity</t>
  </si>
  <si>
    <t>Line Amount</t>
  </si>
  <si>
    <t>Invoice Total Amount</t>
  </si>
  <si>
    <t>SBI Date</t>
  </si>
  <si>
    <t>001 L00230964 01/16/2023 5003527928 Diffusion caps for 4 07673-40180 K0 0.00 6.79 200.000 EA 1,358.00</t>
  </si>
  <si>
    <t xml:space="preserve">L00230964 </t>
  </si>
  <si>
    <t>07673-40180</t>
  </si>
  <si>
    <t>001 L00230964 01/16/2023 5003564185 Z-FLEX Cable Assy G4514-60612 K0 0.00 8.46 2.000 EA 16.92</t>
  </si>
  <si>
    <t>Z-FLEX</t>
  </si>
  <si>
    <t>001 L00231412 01/16/2023 5003598214 RP Syringe Carriage G4513-67970 K0 0.00 139.67 60.000 EA 8,380.20</t>
  </si>
  <si>
    <t xml:space="preserve">L00231412 </t>
  </si>
  <si>
    <t>G4513-67970</t>
  </si>
  <si>
    <t>001 L00231412 01/16/2023 5003603610 X-axis Drive Module G4514-67920 K0 0.00 133.69 5.000 EA 668.45</t>
  </si>
  <si>
    <t>X-axis</t>
  </si>
  <si>
    <t>001 L00230964 01/16/2023 5003636516 MAIN CBL ASSY G2613-60590 K0 0.00 18.41 5.000 EA 92.05</t>
  </si>
  <si>
    <t>G2613-60590</t>
  </si>
  <si>
    <t>001 L00230885 01/18/2023 5003450192 Analog &amp; Power PCA,8 G3450-61811 X0 0.00 195.08 5.000 EA 975.40</t>
  </si>
  <si>
    <t xml:space="preserve">L00230885 </t>
  </si>
  <si>
    <t>G3450-61811</t>
  </si>
  <si>
    <t>001 L00230947 01/18/2023 5003497527 Wire-Guide, propylen G2613-40140 X0 0.00 9.85 4.000 EA 39.40</t>
  </si>
  <si>
    <t xml:space="preserve">L00230947 </t>
  </si>
  <si>
    <t>Wire-Guide</t>
  </si>
  <si>
    <t>001 L00230950 01/18/2023 5003520592 Door Assembly G4567-60410 X0 0.00 4.09 8.000 EA 32.72</t>
  </si>
  <si>
    <t xml:space="preserve">L00230950 </t>
  </si>
  <si>
    <t>G4567-60410</t>
  </si>
  <si>
    <t>001 L00230950 01/18/2023 5003556635 Needle support inser G4513-40529 X0 0.00 0.98 60.000 EA 58.80</t>
  </si>
  <si>
    <t>G4513-40529</t>
  </si>
  <si>
    <t>001 L00230950 01/18/2023 5003567912 Door Assembly G4567-60410 X0 0.00 4.09 2.000 EA 8.18</t>
  </si>
  <si>
    <t>002 L00230950 01/18/2023 5003567912 Syringe Drive Belt G4513-80522 X0 0.00 2.01 34.000 EA 68.34</t>
  </si>
  <si>
    <t>G4513-80522</t>
  </si>
  <si>
    <t>001 L00230950 01/18/2023 5003573839 Wire-Guide, propylen G2613-40140 X0 0.00 9.85 16.000 EA 157.60</t>
  </si>
  <si>
    <t>001 L00230950 01/18/2023 5003605724 Diffusion caps for 4 07673-40180 X0 0.00 6.79 400.000 EA 2,716.00</t>
  </si>
  <si>
    <t>001 L00230950 01/18/2023 5003607728 MAIN CBL ASSY G2613-60590 X0 0.00 18.41 13.000 EA 239.33</t>
  </si>
  <si>
    <t>001 L00230885 01/18/2023 5003613512 PCA-EPC 6890N G1575-60015 X0 0.00 124.81 4.000 EA 499.24</t>
  </si>
  <si>
    <t>001 L00230885 01/18/2023 5003620754 8890 Analog And Powe G3450-67006 X0 0.00 405.00 1.000 EA 405.00</t>
  </si>
  <si>
    <t>G3450-67006</t>
  </si>
  <si>
    <t>001 L00230885 01/18/2023 5003621815 7820 FID Electromete G4331-61815 X0 0.00 109.49 14.000 EA 1,532.86</t>
  </si>
  <si>
    <t>G4331-61815</t>
  </si>
  <si>
    <t>001 L00230885 01/18/2023 5003623538 Key Board Assembly G3430-60555 X0 0.00 146.41 12.000 EA 1,756.92</t>
  </si>
  <si>
    <t>G3430-60555</t>
  </si>
  <si>
    <t>001 SUBPAY L00208426 01/18/2023 5003653001 Price variance G1362 X0 0.00 9.93 40.000 EA 397.20</t>
  </si>
  <si>
    <t xml:space="preserve">SUBPAY L00208426 </t>
  </si>
  <si>
    <t>002 SUBPAY L00208426 01/18/2023 5003653001 Subsequent Payment L X0 0.00 5,166.26 1.000 EA 5,166.26</t>
  </si>
  <si>
    <t>001 L00231627 01/18/2023 5003507920 Mainframe Assy for 7 G8420-60350 K0 0.00 11,316.49 8.000 EA 90,531.92</t>
  </si>
  <si>
    <t xml:space="preserve">L00231627 </t>
  </si>
  <si>
    <t>G8420-60350</t>
  </si>
  <si>
    <t>001 L00231627 01/18/2023 5003507939 Mainframe Assy G8400-60300 K0 0.00 11,316.49 2.000 EA 22,632.98</t>
  </si>
  <si>
    <t>G8400-60300</t>
  </si>
  <si>
    <t>001 L00231772 01/18/2023 5003611200 RF generator G3280-60360 K0 0.00 2,551.33 10.000 EA 25,513.30</t>
  </si>
  <si>
    <t xml:space="preserve">L00231772 </t>
  </si>
  <si>
    <t>G3280-60360</t>
  </si>
  <si>
    <t>001 L00230953 01/17/2023 5003614551 Argon flow controlle G3280-67135 K0 0.00 569.52 40.000 EA 22,780.80</t>
  </si>
  <si>
    <t xml:space="preserve">L00230953 </t>
  </si>
  <si>
    <t>G3280-67135</t>
  </si>
  <si>
    <t>001 L00230953 01/17/2023 5003614579 RF Generator (Pb Fre G8400-67033 K0 0.00 2,553.56 10.000 EA 25,535.60</t>
  </si>
  <si>
    <t>G8400-67033</t>
  </si>
  <si>
    <t>001 L00230806 01/17/2023 5003631185 7650A Injector G4567-64000 K0 0.00 1,195.05 12.000 EA 14,340.60</t>
  </si>
  <si>
    <t xml:space="preserve">L00230806 </t>
  </si>
  <si>
    <t>G4567-64000</t>
  </si>
  <si>
    <t>001 L00230963 01/17/2023 5003634382 RP Exterior Housing G4513-67573 K0 0.00 28.59 20.000 EA 571.80</t>
  </si>
  <si>
    <t xml:space="preserve">L00230963 </t>
  </si>
  <si>
    <t>G4513-67573</t>
  </si>
  <si>
    <t>001 L00230885 01/18/2023 5003553241 8890 Analog &amp; Power G3450-61812 X0 0.00 214.92 1.000 EA 214.92</t>
  </si>
  <si>
    <t>G3450-61812</t>
  </si>
  <si>
    <t>001 L00230885 01/18/2023 5003590640 8890 Inlet TC Interf G3450-61870 X0 0.00 44.56 5.000 EA 222.80</t>
  </si>
  <si>
    <t>G3450-61870</t>
  </si>
  <si>
    <t>001 L00231407 01/18/2023 5003623596 SHIP Kit - Rover G4514-60800 X0 0.00 106.01 3.000 EA 318.03</t>
  </si>
  <si>
    <t xml:space="preserve">L00231407 </t>
  </si>
  <si>
    <t>Rove</t>
  </si>
  <si>
    <t>001 2300944 01/18/2023 2351636785 Ship Carriage Suppor G4567-40340 I1 0.00 0.97 34.000 EA 32.98</t>
  </si>
  <si>
    <t xml:space="preserve">2300944 </t>
  </si>
  <si>
    <t>G4567-40340</t>
  </si>
  <si>
    <t>001 L00230945 01/18/2023 2351641181 M3x10mm Nylon Screw G4514-20596 I1 0.00 0.19 30.000 EA 5.70</t>
  </si>
  <si>
    <t xml:space="preserve">L00230945 </t>
  </si>
  <si>
    <t>G4514-20596</t>
  </si>
  <si>
    <t>001 L00230945 01/18/2023 2351648296 PCB Spacer-Plastic S G2613-40200 I1 0.00 0.90 27.000 EA 24.30</t>
  </si>
  <si>
    <t>Spacer-Plast</t>
  </si>
  <si>
    <t>001 2300944 01/18/2023 2351654595 Ship Carriage Suppor G4567-40340 I1 0.00 0.97 19.000 EA 18.43</t>
  </si>
  <si>
    <t>001 9622042210000614 01/18/2023 2351657513 CCM Board G1316-66535 I1 0.00 156.99 3.000 EA 470.97</t>
  </si>
  <si>
    <t xml:space="preserve">9622042210000614 </t>
  </si>
  <si>
    <t>G1316-66535</t>
  </si>
  <si>
    <t>002 9622042210000614 01/18/2023 2351657513 CCM Board G1316-66535 I1 0.00 156.99 28.000 EA 4,395.72</t>
  </si>
  <si>
    <t>003 9622042210000614 01/18/2023 2351657513 CCM Board G1316-66535 I1 0.00 156.99 27.000 EA 4,238.73</t>
  </si>
  <si>
    <t>001 L00231312 01/18/2023 2351667069 PCA, AC BD G7000-61017 I1 0.00 152.61 29.000 EA 4,425.69</t>
  </si>
  <si>
    <t xml:space="preserve">L00231312 </t>
  </si>
  <si>
    <t>G7000-61017</t>
  </si>
  <si>
    <t>001 9622042210000614 01/18/2023 2351668234 Mainboard G4226-65000 I1 0.00 260.35 2.000 EA 520.70</t>
  </si>
  <si>
    <t>G4226-65000</t>
  </si>
  <si>
    <t>001 L00230945 01/18/2023 2351676430 ALS Main Cable Assem G4514-60610 I1 0.00 12.64 7.000 EA 88.48</t>
  </si>
  <si>
    <t>G4514-60610</t>
  </si>
  <si>
    <t>001 L00231271 01/18/2023 2351632982 HV-A PCA Tested (Pb- G8400-65818 I1 0.00 513.24 1.000 EA 513.24</t>
  </si>
  <si>
    <t xml:space="preserve">L00231271 </t>
  </si>
  <si>
    <t>PCA</t>
  </si>
  <si>
    <t>001 L00231271 01/18/2023 2351636021 HV-A PCA Tested (Pb- G8400-65818 I1 0.00 513.24 3.000 EA 1,539.72</t>
  </si>
  <si>
    <t>001 L00231271 01/18/2023 2351647844 HV-A PCA Tested (Pb- G8400-65818 I1 0.00 513.24 4.000 EA 2,052.96</t>
  </si>
  <si>
    <t>001 L00231362 01/13/2023 5003606166 Mainframe Assembly i G3450-60588 C5 0.00 1,388.88 54.000 EA 74,999.52</t>
  </si>
  <si>
    <t xml:space="preserve">L00231362 </t>
  </si>
  <si>
    <t>G3450-60588</t>
  </si>
  <si>
    <t>002 L00231168 01/13/2023 5003613845 8890 PCA NPD Electro G3450-61884 C5 0.00 45.48 7.000 EA 318.36</t>
  </si>
  <si>
    <t xml:space="preserve">L00231168 </t>
  </si>
  <si>
    <t>G3450-61884</t>
  </si>
  <si>
    <t>003 L00231358 01/13/2023 5003618574 OVENUNIT HEATED MICR CP742834 C5 0.00 188.74 157.000 EA 29,632.18</t>
  </si>
  <si>
    <t xml:space="preserve">L00231358 </t>
  </si>
  <si>
    <t>CP742834</t>
  </si>
  <si>
    <t>004 L00231359 01/13/2023 5003618574 Micro GC Main Board G3581-65000 C5 0.00 204.53 60.000 EA 12,271.80</t>
  </si>
  <si>
    <t xml:space="preserve">L00231359 </t>
  </si>
  <si>
    <t>G3581-65000</t>
  </si>
  <si>
    <t>005 L00231359 01/13/2023 5003619201 PCA Channel TCD-Cont G3581-61011 C5 0.00 78.86 228.000 EA 17,980.08</t>
  </si>
  <si>
    <t>G3581-61011</t>
  </si>
  <si>
    <t>006 L00231168 01/13/2023 5003620622 TCD Interface board G3432-61815 C5 0.00 56.18 3.000 EA 168.54</t>
  </si>
  <si>
    <t>G3432-61815</t>
  </si>
  <si>
    <t>007 L00231168 01/13/2023 5003620622 Leadfree ECD Electro G3433-61810 C5 0.00 58.72 1.000 EA 58.72</t>
  </si>
  <si>
    <t>G3433-61810</t>
  </si>
  <si>
    <t>008 L00231168 01/13/2023 5003620622 NPD Electrometer PCA G3434-61810 C5 0.00 50.47 2.000 EA 100.94</t>
  </si>
  <si>
    <t>G3434-61810</t>
  </si>
  <si>
    <t>009 L00231168 01/13/2023 5003620622 8890A Programmed Pro G3450-61110 C5 0.00 169.24 2.000 EA 338.48</t>
  </si>
  <si>
    <t>G3450-61110</t>
  </si>
  <si>
    <t>010 L00231168 01/13/2023 5003620622 8890 Analog &amp; Power G3450-61810 C5 0.00 207.56 2.000 EA 415.12</t>
  </si>
  <si>
    <t>G3450-61810</t>
  </si>
  <si>
    <t>011 L00231168 01/13/2023 5003620622 8890 AC Board Assemb G3450-61820 C5 0.00 23.98 1.000 EA 23.98</t>
  </si>
  <si>
    <t>G3450-61820</t>
  </si>
  <si>
    <t>012 L00231168 01/13/2023 5003620622 8890E Inlet EPC Boar G3450-61880 C5 0.00 43.98 1.000 EA 43.98</t>
  </si>
  <si>
    <t>G3450-61880</t>
  </si>
  <si>
    <t>013 L00231168 01/13/2023 5003620622 PCA Pressure Sensor G3581-61010 C5 0.00 28.28 1.000 EA 28.28</t>
  </si>
  <si>
    <t>G3581-61010</t>
  </si>
  <si>
    <t>014 L00231168 01/13/2023 5003620622 PCA Channel TCD-Cont G3581-61011 C5 0.00 78.45 2.000 EA 156.90</t>
  </si>
  <si>
    <t>015 L00231168 01/13/2023 5003620622 Micro GC Main Board G3581-65000 C5 0.00 204.55 3.000 EA 613.65</t>
  </si>
  <si>
    <t>016 L00231168 01/13/2023 5003620622 7820 FID Electromete G4331-61815 C5 0.00 93.40 1.000 EA 93.40</t>
  </si>
  <si>
    <t>017 L00231168 01/13/2023 5003620622 Oven Interface PCA G4511-61811 C5 0.00 12.36 2.000 EA 24.72</t>
  </si>
  <si>
    <t>G4511-61811</t>
  </si>
  <si>
    <t>018 L00231168 01/13/2023 5003620622 Tray Interface PCA G4511-61840 C5 0.00 5.48 1.000 EA 5.48</t>
  </si>
  <si>
    <t>G4511-61840</t>
  </si>
  <si>
    <t>019 L00231168 01/13/2023 5003620622 Short Y Interface PC G4511-61848 C5 0.00 11.74 2.000 EA 23.48</t>
  </si>
  <si>
    <t>G4511-61848</t>
  </si>
  <si>
    <t>020 L00231168 01/13/2023 5003620622 rDIB Drive Interface G4514-61812 C5 0.00 4.59 1.000 EA 4.59</t>
  </si>
  <si>
    <t>G4514-61812</t>
  </si>
  <si>
    <t>021 L00231168 01/13/2023 5003620622 7697 Headspace Motor G4556-61820 C5 0.00 11.01 1.000 EA 11.01</t>
  </si>
  <si>
    <t>G4556-61820</t>
  </si>
  <si>
    <t>022 L00231168 01/13/2023 5003620622 PCA, Carrier Board G4580-61811 C5 0.00 273.22 3.000 EA 819.66</t>
  </si>
  <si>
    <t>G4580-61811</t>
  </si>
  <si>
    <t>023 L00231168 01/13/2023 5003620622 PCA, Inlet Pneumatic G4585-61810 C5 0.00 40.37 1.000 EA 40.37</t>
  </si>
  <si>
    <t>G4585-61810</t>
  </si>
  <si>
    <t>024 L00231168 01/13/2023 5003620622 PCA, Detector Pneuma G4585-61820 C5 0.00 40.56 5.000 EA 202.80</t>
  </si>
  <si>
    <t>G4585-61820</t>
  </si>
  <si>
    <t>025 L00231168 01/13/2023 5003620622 PCA, Inlet Pneumatic G4585-61810 C5 0.00 45.82 13.000 EA 595.66</t>
  </si>
  <si>
    <t>001 L00230339 01/12/2023 5003391662 Encoder Interpolator M7300-61011 AU 0.00 64.91 30.000 EA 1,947.30 9027900000</t>
  </si>
  <si>
    <t xml:space="preserve">L00230339 </t>
  </si>
  <si>
    <t>M7300-61011</t>
  </si>
  <si>
    <t>001 01/13/2023 01/13/2023 5003614642 Main PCA - Tested G8400-65805 J3 0.00 339.73 5.000 EA 1,698.65</t>
  </si>
  <si>
    <t xml:space="preserve"> 01/13/2023 </t>
  </si>
  <si>
    <t>Test</t>
  </si>
  <si>
    <t>002 01/13/2023 01/13/2023 5003632197 G4513A Injector (COO G4513-64000 J3 0.00 685.72 8.000 EA 5,485.76</t>
  </si>
  <si>
    <t>G4513-64000</t>
  </si>
  <si>
    <t>003 01/13/2023 01/13/2023 5003632197 G4514A Tray (COO-CN) G4514-64000 J3 0.00 1,127.15 1.000 EA 1,127.15</t>
  </si>
  <si>
    <t>G</t>
  </si>
  <si>
    <t>004 01/13/2023 01/13/2023 5003632197 111 Vial Model Tray G4556-64014 J3 0.00 1,043.19 1.000 EA 1,043.19</t>
  </si>
  <si>
    <t>G4556-64014</t>
  </si>
  <si>
    <t>005 01/13/2023 01/13/2023 5003644769 G4513A Injector (COO G4513-64000 J3 0.00 685.72 24.000 EA 16,457.28</t>
  </si>
  <si>
    <t>006 01/13/2023 01/13/2023 5003644769 G4514A Tray (COO-CN) G4514-64000 J3 0.00 1,127.15 12.000 EA 13,525.80</t>
  </si>
  <si>
    <t>001 L00230946 01/13/2023 2351663396 7697A Tray Rack G4556-60019 I1 0.00 17.02 12.000 EA 204.24</t>
  </si>
  <si>
    <t xml:space="preserve">L00230946 </t>
  </si>
  <si>
    <t>G4556-60019</t>
  </si>
  <si>
    <t>002 L00231069 01/13/2023 2351668234 Mainboard G4226-65000 I1 0.00 260.35 10.000 EA 2,603.50</t>
  </si>
  <si>
    <t xml:space="preserve">L00231069 </t>
  </si>
  <si>
    <t>003 L00230946 01/13/2023 2351675118 Tray Gripper Assembl G2614-60571 I1 0.00 30.25 10.000 EA 302.50</t>
  </si>
  <si>
    <t>G2614-60571</t>
  </si>
  <si>
    <t>001 0600983266 01/16/2023 9900043512 RF generator G3280-60360 K0 0.00 2,551.33 32.000- EA 81,642.56-</t>
  </si>
  <si>
    <t xml:space="preserve">0600983266 </t>
  </si>
  <si>
    <t>32.000-</t>
  </si>
  <si>
    <t>81,642.56-</t>
  </si>
  <si>
    <t>001 REQ BY: LIN LAN 01/16/2023 5003437452 PPV for cable on G63 K0 0.00 112.40 1.000 EA 112.40</t>
  </si>
  <si>
    <t xml:space="preserve">REQ BY: LIN LAN </t>
  </si>
  <si>
    <t>002 L00231187 01/16/2023 5003611213 Water manifold assy G8400-60345 K0 0.00 338.57 41.000 EA 13,881.37</t>
  </si>
  <si>
    <t xml:space="preserve">L00231187 </t>
  </si>
  <si>
    <t>G8400-60345</t>
  </si>
  <si>
    <t>003 L00231187 01/16/2023 5003611224 P501 processor modul G8400-65853 K0 0.00 99.55 48.000 EA 4,778.40</t>
  </si>
  <si>
    <t>G8400-65853</t>
  </si>
  <si>
    <t>004 L00231187 01/16/2023 5003614304 PCA, Qcard carrier G6301-61048 K0 0.00 319.02 18.000 EA 5,742.36</t>
  </si>
  <si>
    <t>G6301-61048</t>
  </si>
  <si>
    <t>005 L00231353 01/16/2023 5003618561 ALS Controller G4350-63529 K0 0.00 85.10 21.000 EA 1,787.10</t>
  </si>
  <si>
    <t xml:space="preserve">L00231353 </t>
  </si>
  <si>
    <t>G4350-63529</t>
  </si>
  <si>
    <t>006 L00231353 01/16/2023 5003630470 FPD Interface board G3435-61810 K0 0.00 102.18 4.000 EA 408.72</t>
  </si>
  <si>
    <t>G3435-61810</t>
  </si>
  <si>
    <t>007 L00231187 01/16/2023 5003640603 QP Controller PCA Te G3280-65853 K0 0.00 411.77 32.000 EA 13,176.64</t>
  </si>
  <si>
    <t>G3280-65853</t>
  </si>
  <si>
    <t>008 L00231148 01/15/2023 5003642177 Water Flow Meter G3280-60203 K0 0.00 113.92 10.000 EA 1,139.20</t>
  </si>
  <si>
    <t xml:space="preserve">L00231148 </t>
  </si>
  <si>
    <t>G3280-60203</t>
  </si>
  <si>
    <t>001 L00231188 01/13/2023 5003618674 PCA Channel TCD-Cont G3581-61011 X0 0.00 78.86 4.000 EA 315.44</t>
  </si>
  <si>
    <t xml:space="preserve">L00231188 </t>
  </si>
  <si>
    <t>TCD-Cont</t>
  </si>
  <si>
    <t>001 L00230956 01/13/2023 5003587373 Syr Drive Tensioner G4513-60517 X0 0.00 13.75 2.000 EA 27.50</t>
  </si>
  <si>
    <t xml:space="preserve">L00230956 </t>
  </si>
  <si>
    <t>G4513-60517</t>
  </si>
  <si>
    <t>001 SR207813 01/13/2023 5003497824 G3280-40300 Sample K0 0.00 59.00 5.000 EA 295.00</t>
  </si>
  <si>
    <t xml:space="preserve">SR207813 </t>
  </si>
  <si>
    <t>G3280-40300</t>
  </si>
  <si>
    <t>002 L00231277 01/13/2023 5003642272 P501 processor modul G8400-65853 K0 0.00 99.55 5.000 EA 497.75</t>
  </si>
  <si>
    <t xml:space="preserve">L00231277 </t>
  </si>
  <si>
    <t>001 L00231068 01/17/2023 5003400860 Mainboard Infinity P G4220-65800 X0 0.00 456.51 14.000 EA 6,391.14</t>
  </si>
  <si>
    <t xml:space="preserve">L00231068 </t>
  </si>
  <si>
    <t>G4220-65800</t>
  </si>
  <si>
    <t>001 L00230950 01/17/2023 5003605724 Mounting post for 76 G4513-20561 X0 0.00 3.93 30.000 EA 117.90</t>
  </si>
  <si>
    <t>G4513-20561</t>
  </si>
  <si>
    <t>001 L00230957 01/17/2023 5003614416 Argon flow controlle G3280-67135 X0 0.00 569.52 45.000 EA 25,628.40</t>
  </si>
  <si>
    <t xml:space="preserve">L00230957 </t>
  </si>
  <si>
    <t>001 L00231254 01/16/2023 5003580407 ALS Interface PCA G3450-61841 K0 0.00 16.45 1.000 EA 16.45</t>
  </si>
  <si>
    <t xml:space="preserve">L00231254 </t>
  </si>
  <si>
    <t>G3450-61841</t>
  </si>
  <si>
    <t>002 L00230890 01/16/2023 5003607370 Analog &amp; Power PCA,8 G3450-61811 K0 0.00 195.08 32.000 EA 6,242.56</t>
  </si>
  <si>
    <t xml:space="preserve">L00230890 </t>
  </si>
  <si>
    <t>003 L00230890 01/16/2023 5003607370 Lead Free Analog And G3430-61850 K0 0.00 187.75 12.000 EA 2,253.00</t>
  </si>
  <si>
    <t>G3430-61850</t>
  </si>
  <si>
    <t>004 L00230890 01/16/2023 5003607370 FID Electrometer PCA G3431-61815 K0 0.00 70.99 16.000 EA 1,135.84</t>
  </si>
  <si>
    <t>G3431-61815</t>
  </si>
  <si>
    <t>005 L00231843 01/16/2023 5003611200 RF generator G3280-60360 K0 0.00 2,551.33 8.000 EA 20,410.64</t>
  </si>
  <si>
    <t xml:space="preserve">L00231843 </t>
  </si>
  <si>
    <t>006 L00230861 01/16/2023 5003613224 PCA,Grid Plate C (Sh G1996-61104 K0 0.00 13.63 4.000 EA 54.52</t>
  </si>
  <si>
    <t xml:space="preserve">L00230861 </t>
  </si>
  <si>
    <t>G1996-61104</t>
  </si>
  <si>
    <t>007 L00230861 01/16/2023 5003614326 PCA, PMT Board, Scan G4900-61821 K0 0.00 656.91 9.000 EA 5,912.19</t>
  </si>
  <si>
    <t>G4900-61821</t>
  </si>
  <si>
    <t>008 L00230861 01/16/2023 5003614340 PCA, PLX with Serial G2581-61202 K0 0.00 403.78 34.000 EA 13,728.52</t>
  </si>
  <si>
    <t>G2581-61202</t>
  </si>
  <si>
    <t>009 L00230861 01/16/2023 5003614365 Ar EPC-I PCA - Teste G8400-65811 K0 0.00 189.64 30.000 EA 5,689.20</t>
  </si>
  <si>
    <t>010 L00231254 01/16/2023 5003615337 8890 AC Board Assemb G3450-61820 K0 0.00 27.90 4.000 EA 111.60</t>
  </si>
  <si>
    <t>011 L00231254 01/16/2023 5003618561 Touchscreen Assy,886 G3450-60573 K0 0.00 92.32 10.000 EA 923.20</t>
  </si>
  <si>
    <t>G3450-60573</t>
  </si>
  <si>
    <t>012 L00231254 01/16/2023 5003618561 Touchscreen Assy,886 G3450-60573 K0 0.00 92.32 5.000 EA 461.60</t>
  </si>
  <si>
    <t>013 L00230861 01/16/2023 5003619217 PCA, PMT Board, Scan G4900-61821 K0 0.00 656.91 3.000 EA 1,970.73</t>
  </si>
  <si>
    <t>014 L00230861 01/16/2023 5003619256 4.0 GHz Acquisition G1969-61204 K0 0.00 1,995.64 1.000 EA 1,995.64</t>
  </si>
  <si>
    <t>G1969-61204</t>
  </si>
  <si>
    <t>015 L00231254 01/16/2023 5003627825 Lead Free Logic Boar G3430-61820 K0 0.00 99.89 48.000 EA 4,794.72</t>
  </si>
  <si>
    <t>G3430-61820</t>
  </si>
  <si>
    <t>001 REQ BY: LIN LAN 01/17/2023 9900043467 ICP series excess pa 5190-0138 C5 0.00 1.00 1,085.000- EA 1,085.00-</t>
  </si>
  <si>
    <t>5190-0138</t>
  </si>
  <si>
    <t>1,085.000-</t>
  </si>
  <si>
    <t>1,085.00-</t>
  </si>
  <si>
    <t>10,022.00-</t>
  </si>
  <si>
    <t>002 REQ BY: LIN LAN 01/17/2023 9900043467 ICP series excess LT 5190-0139 C5 0.00 1.00 8,937.000- EA 8,937.00-</t>
  </si>
  <si>
    <t>5190-0139</t>
  </si>
  <si>
    <t>8,937.000-</t>
  </si>
  <si>
    <t>8,937.00-</t>
  </si>
  <si>
    <t>001 REQ BY: LIN LAN 01/17/2023 9900043529 Favorable PPV- LCMS K0 0.00 1.00 121,697.000- EA 121,697.00-</t>
  </si>
  <si>
    <t>LCMS</t>
  </si>
  <si>
    <t>121,697.00-</t>
  </si>
  <si>
    <t>001 L00231252 01/16/2023 5003554346 FID Detector W/ Igni G4591-61822 K0 0.00 46.54 1.000 EA 46.54</t>
  </si>
  <si>
    <t xml:space="preserve">L00231252 </t>
  </si>
  <si>
    <t>G4591-61822</t>
  </si>
  <si>
    <t>001 L00231252 01/16/2023 5003557853 FID Detector W/ Igni G4591-61822 K0 0.00 46.54 1.000 EA 46.54</t>
  </si>
  <si>
    <t>001 L00231252 01/16/2023 5003560802 FID Detector W/ Igni G4591-61822 K0 0.00 46.54 1.000 EA 46.54</t>
  </si>
  <si>
    <t>001 L00230890 01/16/2023 5003584040 FID Detector W/ Igni G4591-61822 K0 0.00 46.54 9.000 EA 418.86</t>
  </si>
  <si>
    <t>001 L00230890 01/16/2023 5003585682 FID Detector W/ Igni G4591-61822 K0 0.00 46.54 1.000 EA 46.54</t>
  </si>
  <si>
    <t>001 L00230890 01/16/2023 5003592236 FID Detector W/ Igni G4591-61822 K0 0.00 46.54 2.000 EA 93.08</t>
  </si>
  <si>
    <t>001 L00230890 01/16/2023 5003593662 FID Detector W/ Igni G4591-61822 K0 0.00 46.54 1.000 EA 46.54</t>
  </si>
  <si>
    <t>001 L00230890 01/16/2023 5003598213 FID Detector W/ Igni G4591-61822 K0 0.00 46.54 1.000 EA 46.54</t>
  </si>
  <si>
    <t>001 L00230890 01/16/2023 5003605239 FID Detector W/ Igni G4591-61822 K0 0.00 46.54 1.000 EA 46.54</t>
  </si>
  <si>
    <t>001 L00231252 01/16/2023 5003607373 Control PCA G4511-61821 K0 0.00 241.51 1.000 EA 241.51</t>
  </si>
  <si>
    <t>G4511-61821</t>
  </si>
  <si>
    <t>002 L00230890 01/16/2023 5003607373 FID Detector W/ Igni G4591-61822 K0 0.00 46.54 7.000 EA 325.78</t>
  </si>
  <si>
    <t>003 L00231252 01/16/2023 5003607373 7697A Logic Board Su G4556-67101 K0 0.00 118.22 32.000 EA 3,783.04</t>
  </si>
  <si>
    <t>G4556-67101</t>
  </si>
  <si>
    <t>001 SBI5116138259 01/17/2023 2351610624 G1969-61008 PCA NRE I1 0.00 1,265.00 1.000 EA 1,265.00</t>
  </si>
  <si>
    <t xml:space="preserve">SBI5116138259 </t>
  </si>
  <si>
    <t>G1969-61008</t>
  </si>
  <si>
    <t>002 SBI5116138259 01/17/2023 2351610624 G1969-61008 PCB NRE I1 0.00 350.00 1.000 EA 350.00</t>
  </si>
  <si>
    <t>003 SBI5116138259 01/17/2023 2351610624 G1969-61008 PPV I1 0.00 200.75 1.000 EA 200.75</t>
  </si>
  <si>
    <t>001 L00231455 01/17/2023 2351575136 8890 PCA ECD Electro G3450-61883 I1 0.00 72.19 14.000 EA 1,010.66</t>
  </si>
  <si>
    <t xml:space="preserve">L00231455 </t>
  </si>
  <si>
    <t>G3450-61883</t>
  </si>
  <si>
    <t>002 L00231455 01/17/2023 2351647528 XCD Controller PCA A G3488-61820 I1 0.00 193.08 2.000 EA 386.16</t>
  </si>
  <si>
    <t>G3488-61820</t>
  </si>
  <si>
    <t>003 L00231510 01/17/2023 2351649162 PCA, Lower Separatio G4580-61851 I1 0.00 15.69 9.000 EA 141.21</t>
  </si>
  <si>
    <t xml:space="preserve">L00231510 </t>
  </si>
  <si>
    <t>G4580-61851</t>
  </si>
  <si>
    <t>004 L00231510 01/17/2023 2351649162 XCD Electrometer Ass G3488-61830 I1 0.00 39.40 20.000 EA 788.00</t>
  </si>
  <si>
    <t>G3488-61830</t>
  </si>
  <si>
    <t>005 L00231455 01/17/2023 2351663395 XCD Controller PCA A G3488-61820 I1 0.00 193.08 1.000 EA 193.08</t>
  </si>
  <si>
    <t>006 L00231314 01/17/2023 2351663940 Detector Feedthru PC G7000-61013 I1 0.00 9.78 144.000 EA 1,408.32</t>
  </si>
  <si>
    <t xml:space="preserve">L00231314 </t>
  </si>
  <si>
    <t>G7000-61013</t>
  </si>
  <si>
    <t>007 L00231314 01/17/2023 2351664191 Switch PCA G7000-61110 I1 0.00 11.66 96.000 EA 1,119.36</t>
  </si>
  <si>
    <t>G7000-61110</t>
  </si>
  <si>
    <t>008 L00230888 01/17/2023 2351665188 Analog Input PCA G3456-61810 I1 0.00 47.92 3.000 EA 143.76</t>
  </si>
  <si>
    <t xml:space="preserve">L00230888 </t>
  </si>
  <si>
    <t>G3456-61810</t>
  </si>
  <si>
    <t>009 L00231548 01/17/2023 2351669094 Key Board Assembly G3430-60555 I1 0.00 144.79 6.000 EA 868.74</t>
  </si>
  <si>
    <t xml:space="preserve">L00231548 </t>
  </si>
  <si>
    <t>010 L00231548 01/17/2023 2351669094 Key Board Assembly G3430-60555 I1 0.00 144.79 1.000 EA 144.79</t>
  </si>
  <si>
    <t>011 L00230888 01/17/2023 2351671007 FID Electrometer PCA G3431-61815 I1 0.00 70.99 16.000 EA 1,135.84</t>
  </si>
  <si>
    <t>012 L00231510 01/17/2023 2351671791 Tray Interface PCA G4511-61840 I1 0.00 5.68 30.000 EA 170.40</t>
  </si>
  <si>
    <t>013 L00231510 01/17/2023 2351671791 PCA, NPD Interface B G4594-61820 I1 0.00 100.53 20.000 EA 2,010.60</t>
  </si>
  <si>
    <t>G4594-61820</t>
  </si>
  <si>
    <t>014 L00231798 01/17/2023 2351671793 FID Signal Board G1531-60010 I1 0.00 144.56 30.000 EA 4,336.80</t>
  </si>
  <si>
    <t xml:space="preserve">L00231798 </t>
  </si>
  <si>
    <t>G1531-60010</t>
  </si>
  <si>
    <t>015 L00231455 01/17/2023 2351671793 XCD Controller PCA A G3488-61820 I1 0.00 193.08 1.000 EA 193.08</t>
  </si>
  <si>
    <t>016 L00231455 01/17/2023 2351671793 Analog &amp; Power PCA,8 G3450-61811 I1 0.00 195.08 10.000 EA 1,950.80</t>
  </si>
  <si>
    <t>017 L00230888 01/17/2023 2351671793 7890B Logic Board Wi G3430-61110 I1 0.00 102.07 26.000 EA 2,653.82</t>
  </si>
  <si>
    <t>G3430-61110</t>
  </si>
  <si>
    <t>018 L00231455 01/17/2023 2351671793 PCA, Carrier Board G4580-61811 I1 0.00 280.19 3.000 EA 840.57</t>
  </si>
  <si>
    <t>019 L00231510 01/17/2023 2351677263 Short Y Interface PC G4511-61848 I1 0.00 11.74 20.000 EA 234.80</t>
  </si>
  <si>
    <t>001 1221572871490003 01/17/2023 2351632982 HV-A PCA Tested (Pb- G8400-65818 I1 0.00 513.24 1.000 EA 513.24</t>
  </si>
  <si>
    <t xml:space="preserve">1221572871490003 </t>
  </si>
  <si>
    <t>002 L00231268 01/17/2023 2351667820 G4514A Tray Refrofit G4514-68000 I1 0.00 50.36 3.000 EA 151.08</t>
  </si>
  <si>
    <t xml:space="preserve">L00231268 </t>
  </si>
  <si>
    <t>G4514-68000</t>
  </si>
  <si>
    <t>003 L00230888 01/17/2023 2351671008 7820 Lead Free Logic G4350-61820 I1 0.00 99.98 6.000 EA 599.88</t>
  </si>
  <si>
    <t>G4350-61820</t>
  </si>
  <si>
    <t>004 L00230888 01/17/2023 2351671796 FID Detector W/ Igni G4591-61822 I1 0.00 46.54 96.000 EA 4,467.84</t>
  </si>
  <si>
    <t>005 L00230888 01/17/2023 2351671796 FID Detector W/ Igni G4591-61822 I1 0.00 46.54 17.000 EA 791.18</t>
  </si>
  <si>
    <t>006 1241877282090003 01/17/2023 2351672618 Triaxial Assembly G4556-60203 I1 0.00 8.91 10.000 EA 89.10</t>
  </si>
  <si>
    <t xml:space="preserve">1241877282090003 </t>
  </si>
  <si>
    <t>G4556-60203</t>
  </si>
  <si>
    <t>007 L00231420 01/17/2023 2351678640 Gantry Module Assemb G4556-67911 I1 0.00 204.19 13.000 EA 2,654.47</t>
  </si>
  <si>
    <t xml:space="preserve">L00231420 </t>
  </si>
  <si>
    <t>G4556-67911</t>
  </si>
  <si>
    <t>001 L00231643 01/17/2023 5003603516 111 Vial Model Tray G4556-64014 C5 0.00 1,043.19 16.000 EA 16,691.04</t>
  </si>
  <si>
    <t xml:space="preserve">L00231643 </t>
  </si>
  <si>
    <t>002 L00231368 01/17/2023 5003606166 Mainframe Assembly i G3450-60588 C5 0.00 1,388.88 76.000 EA 105,554.88</t>
  </si>
  <si>
    <t xml:space="preserve">L00231368 </t>
  </si>
  <si>
    <t>003 L00231368 01/17/2023 5003606166 Nexus E MF Assy 220V G3450-60956 C5 0.00 1,195.80 32.000 EA 38,265.60</t>
  </si>
  <si>
    <t>G3450-60956</t>
  </si>
  <si>
    <t>004 L00231643 01/17/2023 5003631183 7650A Injector G4567-64000 C5 0.00 1,195.05 24.000 EA 28,681.20</t>
  </si>
  <si>
    <t>005 L00231643 01/17/2023 5003644767 G4514A Tray (COO-CN) G4514-64000 C5 0.00 1,127.15 24.000 EA 27,051.60</t>
  </si>
  <si>
    <t>G4514-64000</t>
  </si>
  <si>
    <t>001 5003619269 01/11/2023 5003619269 Freight cost for Phi C5 0.00 6,829.92 1.000 EA 6,829.92</t>
  </si>
  <si>
    <t xml:space="preserve">5003619269 </t>
  </si>
  <si>
    <t>Phi</t>
  </si>
  <si>
    <t>001 5003459800 01/11/2023 5003459800 AGIH-5181-3354 C5 0.00 21.08 7.000 EA 147.56</t>
  </si>
  <si>
    <t xml:space="preserve">5003459800 </t>
  </si>
  <si>
    <t>AGIH-5181-3354</t>
  </si>
  <si>
    <t>002 5003459800 01/11/2023 5003459800 AGIH-5182-0717 C5 0.00 5.76 15.000 EA 86.40</t>
  </si>
  <si>
    <t>AGIH-5182-0717</t>
  </si>
  <si>
    <t>003 5003459800 01/11/2023 5003459800 AGIH-5182-0714 C5 0.00 5.84 3.000 EA 17.52</t>
  </si>
  <si>
    <t>AGIH-5182-0714</t>
  </si>
  <si>
    <t>No packslip</t>
  </si>
  <si>
    <t>Grand Total</t>
  </si>
  <si>
    <t>Sum of Line Amount</t>
  </si>
  <si>
    <t>Status</t>
  </si>
  <si>
    <t>Row Labels</t>
  </si>
  <si>
    <t>L00230964</t>
  </si>
  <si>
    <t>L00231412</t>
  </si>
  <si>
    <t>L00230885</t>
  </si>
  <si>
    <t>L00230947</t>
  </si>
  <si>
    <t>L00230950</t>
  </si>
  <si>
    <t>SUBPAYL00208426</t>
  </si>
  <si>
    <t>L00231627</t>
  </si>
  <si>
    <t>L00231772</t>
  </si>
  <si>
    <t>L00230953</t>
  </si>
  <si>
    <t>L00230806</t>
  </si>
  <si>
    <t>L00230963</t>
  </si>
  <si>
    <t>L00231407</t>
  </si>
  <si>
    <t>L00230945</t>
  </si>
  <si>
    <t>L00231312</t>
  </si>
  <si>
    <t>L00231271</t>
  </si>
  <si>
    <t>L00231362</t>
  </si>
  <si>
    <t>L00231168</t>
  </si>
  <si>
    <t>L00231358</t>
  </si>
  <si>
    <t>L00231359</t>
  </si>
  <si>
    <t>L00230339</t>
  </si>
  <si>
    <t>Nopackslip</t>
  </si>
  <si>
    <t>L00230946</t>
  </si>
  <si>
    <t>L00231069</t>
  </si>
  <si>
    <t>REQBY:LINLAN</t>
  </si>
  <si>
    <t>L00231187</t>
  </si>
  <si>
    <t>L00231353</t>
  </si>
  <si>
    <t>L00231148</t>
  </si>
  <si>
    <t>L00231188</t>
  </si>
  <si>
    <t>L00230956</t>
  </si>
  <si>
    <t>SR207813</t>
  </si>
  <si>
    <t>L00231277</t>
  </si>
  <si>
    <t>L00231068</t>
  </si>
  <si>
    <t>L00230957</t>
  </si>
  <si>
    <t>L00231254</t>
  </si>
  <si>
    <t>L00230890</t>
  </si>
  <si>
    <t>L00231843</t>
  </si>
  <si>
    <t>L00230861</t>
  </si>
  <si>
    <t>L00231252</t>
  </si>
  <si>
    <t>SBI5116138259</t>
  </si>
  <si>
    <t>L00231455</t>
  </si>
  <si>
    <t>L00231510</t>
  </si>
  <si>
    <t>L00231314</t>
  </si>
  <si>
    <t>L00230888</t>
  </si>
  <si>
    <t>L00231548</t>
  </si>
  <si>
    <t>L00231798</t>
  </si>
  <si>
    <t>L00231268</t>
  </si>
  <si>
    <t>L00231420</t>
  </si>
  <si>
    <t>L00231643</t>
  </si>
  <si>
    <t>L00231368</t>
  </si>
  <si>
    <t>Done</t>
  </si>
  <si>
    <t>done</t>
  </si>
  <si>
    <t>MSI42000774</t>
  </si>
  <si>
    <t>MSI42001347</t>
  </si>
  <si>
    <t>Pending</t>
  </si>
  <si>
    <t>MSI42000933</t>
  </si>
  <si>
    <t>MSI42000753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</si>
</sst>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_);_(* \(#,##0.000\);_(* &quot;-&quot;??_);_(@_)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1C2D3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DFDFA"/>
        <bgColor rgb="FFFDFDFA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9">
    <xf numFmtId="0" fontId="0" fillId="0" borderId="0" xfId="0"/>
    <xf numFmtId="0" fontId="2" fillId="2" borderId="1" xfId="0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vertical="center"/>
    </xf>
    <xf numFmtId="1" fontId="2" fillId="2" borderId="1" xfId="0" applyNumberFormat="1" applyFont="1" applyFill="1" applyBorder="1" applyAlignment="1">
      <alignment vertical="center"/>
    </xf>
    <xf numFmtId="164" fontId="2" fillId="2" borderId="1" xfId="1" applyNumberFormat="1" applyFont="1" applyFill="1" applyBorder="1" applyAlignment="1">
      <alignment vertical="center"/>
    </xf>
    <xf numFmtId="15" fontId="2" fillId="2" borderId="1" xfId="1" applyNumberFormat="1" applyFont="1" applyFill="1" applyBorder="1" applyAlignment="1">
      <alignment vertical="center"/>
    </xf>
    <xf numFmtId="49" fontId="0" fillId="0" borderId="0" xfId="0" applyNumberFormat="1"/>
    <xf numFmtId="15" fontId="0" fillId="0" borderId="0" xfId="0" applyNumberFormat="1"/>
    <xf numFmtId="1" fontId="0" fillId="0" borderId="0" xfId="0" applyNumberFormat="1"/>
    <xf numFmtId="4" fontId="0" fillId="0" borderId="0" xfId="1" applyNumberFormat="1" applyFont="1"/>
    <xf numFmtId="165" fontId="0" fillId="0" borderId="0" xfId="1" applyNumberFormat="1" applyFont="1" applyAlignment="1">
      <alignment horizontal="center" vertical="center"/>
    </xf>
    <xf numFmtId="164" fontId="0" fillId="0" borderId="0" xfId="1" applyNumberFormat="1" applyFont="1"/>
    <xf numFmtId="164" fontId="2" fillId="2" borderId="2" xfId="1" applyNumberFormat="1" applyFont="1" applyFill="1" applyBorder="1" applyAlignment="1">
      <alignment vertical="center"/>
    </xf>
    <xf numFmtId="43" fontId="0" fillId="0" borderId="0" xfId="1" applyFont="1"/>
    <xf numFmtId="43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3" fillId="3" borderId="3" xfId="0" applyFont="1" applyFill="1" applyBorder="1" applyAlignment="1">
      <alignment vertical="top" readingOrder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kshmi A" refreshedDate="44945.670596643518" createdVersion="7" refreshedVersion="7" minRefreshableVersion="3" recordCount="158" xr:uid="{92CCD329-9538-450B-B95A-1B024EE53533}">
  <cacheSource type="worksheet">
    <worksheetSource ref="A2:L160" sheet="Sheet1"/>
  </cacheSource>
  <cacheFields count="12">
    <cacheField name="SBI" numFmtId="0">
      <sharedItems containsSemiMixedTypes="0" containsString="0" containsNumber="1" containsInteger="1" minValue="5116652061" maxValue="5116667960" count="67">
        <n v="5116660217"/>
        <n v="5116660218"/>
        <n v="5116660219"/>
        <n v="5116660330"/>
        <n v="5116660331"/>
        <n v="5116667552"/>
        <n v="5116667553"/>
        <n v="5116667554"/>
        <n v="5116667556"/>
        <n v="5116667557"/>
        <n v="5116667558"/>
        <n v="5116667560"/>
        <n v="5116667561"/>
        <n v="5116667562"/>
        <n v="5116667563"/>
        <n v="5116667564"/>
        <n v="5116667565"/>
        <n v="5116667568"/>
        <n v="5116667590"/>
        <n v="5116667591"/>
        <n v="5116667592"/>
        <n v="5116667593"/>
        <n v="5116667594"/>
        <n v="5116667595"/>
        <n v="5116667567"/>
        <n v="5116667555"/>
        <n v="5116667559"/>
        <n v="5116667566"/>
        <n v="5116667952"/>
        <n v="5116667953"/>
        <n v="5116667955"/>
        <n v="5116667956"/>
        <n v="5116667957"/>
        <n v="5116667958"/>
        <n v="5116667959"/>
        <n v="5116667960"/>
        <n v="5116667950"/>
        <n v="5116667951"/>
        <n v="5116667954"/>
        <n v="5116654219"/>
        <n v="5116652061"/>
        <n v="5116654202"/>
        <n v="5116655653"/>
        <n v="5116660347"/>
        <n v="5116655369"/>
        <n v="5116654978"/>
        <n v="5116655380"/>
        <n v="5116664073"/>
        <n v="5116664183"/>
        <n v="5116664185"/>
        <n v="5116664192"/>
        <n v="5116664074"/>
        <n v="5116664075"/>
        <n v="5116664076"/>
        <n v="5116664077"/>
        <n v="5116664078"/>
        <n v="5116664079"/>
        <n v="5116664180"/>
        <n v="5116664181"/>
        <n v="5116664182"/>
        <n v="5116664184"/>
        <n v="5116664517"/>
        <n v="5116664518"/>
        <n v="5116664519"/>
        <n v="5116661490"/>
        <n v="5116661284"/>
        <n v="5116661285"/>
      </sharedItems>
    </cacheField>
    <cacheField name="Reference String" numFmtId="0">
      <sharedItems/>
    </cacheField>
    <cacheField name="Line No." numFmtId="0">
      <sharedItems containsSemiMixedTypes="0" containsString="0" containsNumber="1" containsInteger="1" minValue="1" maxValue="25"/>
    </cacheField>
    <cacheField name="PackingSlipNo." numFmtId="49">
      <sharedItems/>
    </cacheField>
    <cacheField name="Receipt Date" numFmtId="15">
      <sharedItems containsSemiMixedTypes="0" containsNonDate="0" containsDate="1" containsString="0" minDate="2023-01-11T00:00:00" maxDate="2023-01-19T00:00:00"/>
    </cacheField>
    <cacheField name="PO Number" numFmtId="1">
      <sharedItems containsMixedTypes="1" containsNumber="1" containsInteger="1" minValue="2351575136" maxValue="5003653001"/>
    </cacheField>
    <cacheField name="Item No." numFmtId="0">
      <sharedItems containsBlank="1" containsMixedTypes="1" containsNumber="1" containsInteger="1" minValue="6" maxValue="6"/>
    </cacheField>
    <cacheField name="Unit Price" numFmtId="4">
      <sharedItems containsSemiMixedTypes="0" containsString="0" containsNumber="1" minValue="0.19" maxValue="11316.49"/>
    </cacheField>
    <cacheField name="Quantity" numFmtId="165">
      <sharedItems containsSemiMixedTypes="0" containsString="0" containsNumber="1" containsInteger="1" minValue="1" maxValue="400"/>
    </cacheField>
    <cacheField name="Line Amount" numFmtId="4">
      <sharedItems containsSemiMixedTypes="0" containsString="0" containsNumber="1" minValue="4.59" maxValue="105554.88"/>
    </cacheField>
    <cacheField name="Invoice Total Amount" numFmtId="164">
      <sharedItems containsSemiMixedTypes="0" containsString="0" containsNumber="1" minValue="5.7" maxValue="216244.32"/>
    </cacheField>
    <cacheField name="SBI Date" numFmtId="15">
      <sharedItems containsSemiMixedTypes="0" containsNonDate="0" containsDate="1" containsString="0" minDate="2023-01-13T00:00:00" maxDate="2023-01-19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kshmi A" refreshedDate="44945.688396412035" createdVersion="7" refreshedVersion="7" minRefreshableVersion="3" recordCount="133" xr:uid="{CBC6EE9F-7ED3-4951-817C-BF97BB490EDA}">
  <cacheSource type="worksheet">
    <worksheetSource ref="A1:J134" sheet="Only L00 series"/>
  </cacheSource>
  <cacheFields count="10">
    <cacheField name="Reference String" numFmtId="0">
      <sharedItems/>
    </cacheField>
    <cacheField name="PackingSlipNo." numFmtId="49">
      <sharedItems count="44">
        <s v="L00230964"/>
        <s v="L00231412"/>
        <s v="L00230885"/>
        <s v="L00230947"/>
        <s v="L00230950"/>
        <s v="L00231627"/>
        <s v="L00231772"/>
        <s v="L00230953"/>
        <s v="L00230806"/>
        <s v="L00230963"/>
        <s v="L00231407"/>
        <s v="L00230945"/>
        <s v="L00231312"/>
        <s v="L00231271"/>
        <s v="L00231362"/>
        <s v="L00231168"/>
        <s v="L00231358"/>
        <s v="L00231359"/>
        <s v="L00230339"/>
        <s v="L00230946"/>
        <s v="L00231069"/>
        <s v="L00231187"/>
        <s v="L00231353"/>
        <s v="L00231148"/>
        <s v="L00231188"/>
        <s v="L00230956"/>
        <s v="L00231277"/>
        <s v="L00231068"/>
        <s v="L00230957"/>
        <s v="L00231254"/>
        <s v="L00230890"/>
        <s v="L00231843"/>
        <s v="L00230861"/>
        <s v="L00231252"/>
        <s v="L00231455"/>
        <s v="L00231510"/>
        <s v="L00231314"/>
        <s v="L00230888"/>
        <s v="L00231548"/>
        <s v="L00231798"/>
        <s v="L00231268"/>
        <s v="L00231420"/>
        <s v="L00231643"/>
        <s v="L00231368"/>
      </sharedItems>
    </cacheField>
    <cacheField name="PO Number" numFmtId="1">
      <sharedItems containsSemiMixedTypes="0" containsString="0" containsNumber="1" containsInteger="1" minValue="2351575136" maxValue="5003644767" count="94">
        <n v="5003527928"/>
        <n v="5003564185"/>
        <n v="5003598214"/>
        <n v="5003603610"/>
        <n v="5003636516"/>
        <n v="5003450192"/>
        <n v="5003497527"/>
        <n v="5003520592"/>
        <n v="5003556635"/>
        <n v="5003567912"/>
        <n v="5003573839"/>
        <n v="5003605724"/>
        <n v="5003607728"/>
        <n v="5003613512"/>
        <n v="5003620754"/>
        <n v="5003621815"/>
        <n v="5003623538"/>
        <n v="5003507920"/>
        <n v="5003507939"/>
        <n v="5003611200"/>
        <n v="5003614551"/>
        <n v="5003614579"/>
        <n v="5003631185"/>
        <n v="5003634382"/>
        <n v="5003553241"/>
        <n v="5003590640"/>
        <n v="5003623596"/>
        <n v="2351641181"/>
        <n v="2351648296"/>
        <n v="2351667069"/>
        <n v="2351676430"/>
        <n v="2351632982"/>
        <n v="2351636021"/>
        <n v="2351647844"/>
        <n v="5003606166"/>
        <n v="5003613845"/>
        <n v="5003618574"/>
        <n v="5003619201"/>
        <n v="5003620622"/>
        <n v="5003391662"/>
        <n v="2351663396"/>
        <n v="2351668234"/>
        <n v="2351675118"/>
        <n v="5003611213"/>
        <n v="5003611224"/>
        <n v="5003614304"/>
        <n v="5003618561"/>
        <n v="5003630470"/>
        <n v="5003640603"/>
        <n v="5003642177"/>
        <n v="5003618674"/>
        <n v="5003587373"/>
        <n v="5003642272"/>
        <n v="5003400860"/>
        <n v="5003614416"/>
        <n v="5003580407"/>
        <n v="5003607370"/>
        <n v="5003613224"/>
        <n v="5003614326"/>
        <n v="5003614340"/>
        <n v="5003614365"/>
        <n v="5003615337"/>
        <n v="5003619217"/>
        <n v="5003619256"/>
        <n v="5003627825"/>
        <n v="5003554346"/>
        <n v="5003557853"/>
        <n v="5003560802"/>
        <n v="5003584040"/>
        <n v="5003585682"/>
        <n v="5003592236"/>
        <n v="5003593662"/>
        <n v="5003598213"/>
        <n v="5003605239"/>
        <n v="5003607373"/>
        <n v="2351575136"/>
        <n v="2351647528"/>
        <n v="2351649162"/>
        <n v="2351663395"/>
        <n v="2351663940"/>
        <n v="2351664191"/>
        <n v="2351665188"/>
        <n v="2351669094"/>
        <n v="2351671007"/>
        <n v="2351671791"/>
        <n v="2351671793"/>
        <n v="2351677263"/>
        <n v="2351667820"/>
        <n v="2351671008"/>
        <n v="2351671796"/>
        <n v="2351678640"/>
        <n v="5003603516"/>
        <n v="5003631183"/>
        <n v="5003644767"/>
      </sharedItems>
    </cacheField>
    <cacheField name="SBI Date" numFmtId="15">
      <sharedItems containsSemiMixedTypes="0" containsNonDate="0" containsDate="1" containsString="0" minDate="2023-01-12T00:00:00" maxDate="2023-01-19T00:00:00"/>
    </cacheField>
    <cacheField name="SBI" numFmtId="0">
      <sharedItems containsSemiMixedTypes="0" containsString="0" containsNumber="1" containsInteger="1" minValue="5116652061" maxValue="5116667960" count="58">
        <n v="5116660217"/>
        <n v="5116660218"/>
        <n v="5116660219"/>
        <n v="5116660330"/>
        <n v="5116660331"/>
        <n v="5116667552"/>
        <n v="5116667553"/>
        <n v="5116667554"/>
        <n v="5116667556"/>
        <n v="5116667557"/>
        <n v="5116667558"/>
        <n v="5116667560"/>
        <n v="5116667561"/>
        <n v="5116667562"/>
        <n v="5116667563"/>
        <n v="5116667564"/>
        <n v="5116667565"/>
        <n v="5116667590"/>
        <n v="5116667591"/>
        <n v="5116667592"/>
        <n v="5116667593"/>
        <n v="5116667594"/>
        <n v="5116667595"/>
        <n v="5116667567"/>
        <n v="5116667555"/>
        <n v="5116667559"/>
        <n v="5116667566"/>
        <n v="5116667953"/>
        <n v="5116667955"/>
        <n v="5116667958"/>
        <n v="5116667960"/>
        <n v="5116667950"/>
        <n v="5116667951"/>
        <n v="5116667954"/>
        <n v="5116654219"/>
        <n v="5116652061"/>
        <n v="5116655653"/>
        <n v="5116660347"/>
        <n v="5116655369"/>
        <n v="5116654978"/>
        <n v="5116655380"/>
        <n v="5116664073"/>
        <n v="5116664183"/>
        <n v="5116664185"/>
        <n v="5116664192"/>
        <n v="5116664074"/>
        <n v="5116664075"/>
        <n v="5116664076"/>
        <n v="5116664077"/>
        <n v="5116664078"/>
        <n v="5116664079"/>
        <n v="5116664180"/>
        <n v="5116664181"/>
        <n v="5116664182"/>
        <n v="5116664184"/>
        <n v="5116664518"/>
        <n v="5116664519"/>
        <n v="5116661490"/>
      </sharedItems>
    </cacheField>
    <cacheField name="Line Amount" numFmtId="4">
      <sharedItems containsSemiMixedTypes="0" containsString="0" containsNumber="1" minValue="4.59" maxValue="105554.88"/>
    </cacheField>
    <cacheField name="Quantity" numFmtId="165">
      <sharedItems containsSemiMixedTypes="0" containsString="0" containsNumber="1" containsInteger="1" minValue="1" maxValue="400"/>
    </cacheField>
    <cacheField name="Unit Price" numFmtId="4">
      <sharedItems containsSemiMixedTypes="0" containsString="0" containsNumber="1" minValue="0.19" maxValue="11316.49"/>
    </cacheField>
    <cacheField name="Status" numFmtId="0">
      <sharedItems containsNonDate="0" containsString="0" containsBlank="1"/>
    </cacheField>
    <cacheField name="Item No." numFmtId="0">
      <sharedItems containsMixedTypes="1" containsNumber="1" containsInteger="1" minValue="6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kas Gaikwad" refreshedDate="44993.565973611112" createdVersion="7" refreshedVersion="7" minRefreshableVersion="3" recordCount="133" xr:uid="{C70FC018-996F-4B99-8E85-FA74FDCD76A9}">
  <cacheSource type="worksheet">
    <worksheetSource ref="A1:J134" sheet="L00"/>
  </cacheSource>
  <cacheFields count="10">
    <cacheField name="Reference String" numFmtId="0">
      <sharedItems/>
    </cacheField>
    <cacheField name="PackingSlipNo." numFmtId="49">
      <sharedItems count="44">
        <s v="L00230964"/>
        <s v="L00231412"/>
        <s v="L00230885"/>
        <s v="L00230947"/>
        <s v="L00230950"/>
        <s v="L00231627"/>
        <s v="L00231772"/>
        <s v="L00230953"/>
        <s v="L00230806"/>
        <s v="L00230963"/>
        <s v="L00231407"/>
        <s v="L00230945"/>
        <s v="L00231312"/>
        <s v="L00231271"/>
        <s v="L00231362"/>
        <s v="L00231168"/>
        <s v="L00231358"/>
        <s v="L00231359"/>
        <s v="L00230339"/>
        <s v="L00230946"/>
        <s v="L00231069"/>
        <s v="L00231187"/>
        <s v="L00231353"/>
        <s v="L00231148"/>
        <s v="L00231188"/>
        <s v="L00230956"/>
        <s v="L00231277"/>
        <s v="L00231068"/>
        <s v="L00230957"/>
        <s v="L00231254"/>
        <s v="L00230890"/>
        <s v="L00231843"/>
        <s v="L00230861"/>
        <s v="L00231252"/>
        <s v="L00231455"/>
        <s v="L00231510"/>
        <s v="L00231314"/>
        <s v="L00230888"/>
        <s v="L00231548"/>
        <s v="L00231798"/>
        <s v="L00231268"/>
        <s v="L00231420"/>
        <s v="L00231643"/>
        <s v="L00231368"/>
      </sharedItems>
    </cacheField>
    <cacheField name="PO Number" numFmtId="1">
      <sharedItems containsSemiMixedTypes="0" containsString="0" containsNumber="1" containsInteger="1" minValue="2351575136" maxValue="5003644767" count="94">
        <n v="5003527928"/>
        <n v="5003564185"/>
        <n v="5003598214"/>
        <n v="5003603610"/>
        <n v="5003636516"/>
        <n v="5003450192"/>
        <n v="5003497527"/>
        <n v="5003520592"/>
        <n v="5003556635"/>
        <n v="5003567912"/>
        <n v="5003573839"/>
        <n v="5003605724"/>
        <n v="5003607728"/>
        <n v="5003613512"/>
        <n v="5003620754"/>
        <n v="5003621815"/>
        <n v="5003623538"/>
        <n v="5003507920"/>
        <n v="5003507939"/>
        <n v="5003611200"/>
        <n v="5003614551"/>
        <n v="5003614579"/>
        <n v="5003631185"/>
        <n v="5003634382"/>
        <n v="5003553241"/>
        <n v="5003590640"/>
        <n v="5003623596"/>
        <n v="2351641181"/>
        <n v="2351648296"/>
        <n v="2351667069"/>
        <n v="2351676430"/>
        <n v="2351632982"/>
        <n v="2351636021"/>
        <n v="2351647844"/>
        <n v="5003606166"/>
        <n v="5003613845"/>
        <n v="5003618574"/>
        <n v="5003619201"/>
        <n v="5003620622"/>
        <n v="5003391662"/>
        <n v="2351663396"/>
        <n v="2351668234"/>
        <n v="2351675118"/>
        <n v="5003611213"/>
        <n v="5003611224"/>
        <n v="5003614304"/>
        <n v="5003618561"/>
        <n v="5003630470"/>
        <n v="5003640603"/>
        <n v="5003642177"/>
        <n v="5003618674"/>
        <n v="5003587373"/>
        <n v="5003642272"/>
        <n v="5003400860"/>
        <n v="5003614416"/>
        <n v="5003580407"/>
        <n v="5003607370"/>
        <n v="5003613224"/>
        <n v="5003614326"/>
        <n v="5003614340"/>
        <n v="5003614365"/>
        <n v="5003615337"/>
        <n v="5003619217"/>
        <n v="5003619256"/>
        <n v="5003627825"/>
        <n v="5003554346"/>
        <n v="5003557853"/>
        <n v="5003560802"/>
        <n v="5003584040"/>
        <n v="5003585682"/>
        <n v="5003592236"/>
        <n v="5003593662"/>
        <n v="5003598213"/>
        <n v="5003605239"/>
        <n v="5003607373"/>
        <n v="2351575136"/>
        <n v="2351647528"/>
        <n v="2351649162"/>
        <n v="2351663395"/>
        <n v="2351663940"/>
        <n v="2351664191"/>
        <n v="2351665188"/>
        <n v="2351669094"/>
        <n v="2351671007"/>
        <n v="2351671791"/>
        <n v="2351671793"/>
        <n v="2351677263"/>
        <n v="2351667820"/>
        <n v="2351671008"/>
        <n v="2351671796"/>
        <n v="2351678640"/>
        <n v="5003603516"/>
        <n v="5003631183"/>
        <n v="5003644767"/>
      </sharedItems>
    </cacheField>
    <cacheField name="SBI Date" numFmtId="15">
      <sharedItems containsSemiMixedTypes="0" containsNonDate="0" containsDate="1" containsString="0" minDate="2023-01-12T00:00:00" maxDate="2023-01-19T00:00:00"/>
    </cacheField>
    <cacheField name="SBI" numFmtId="0">
      <sharedItems containsSemiMixedTypes="0" containsString="0" containsNumber="1" containsInteger="1" minValue="5116652061" maxValue="5116667960" count="58">
        <n v="5116660217"/>
        <n v="5116660218"/>
        <n v="5116660219"/>
        <n v="5116660330"/>
        <n v="5116660331"/>
        <n v="5116667552"/>
        <n v="5116667553"/>
        <n v="5116667554"/>
        <n v="5116667556"/>
        <n v="5116667557"/>
        <n v="5116667558"/>
        <n v="5116667560"/>
        <n v="5116667561"/>
        <n v="5116667562"/>
        <n v="5116667563"/>
        <n v="5116667564"/>
        <n v="5116667565"/>
        <n v="5116667590"/>
        <n v="5116667591"/>
        <n v="5116667592"/>
        <n v="5116667593"/>
        <n v="5116667594"/>
        <n v="5116667595"/>
        <n v="5116667567"/>
        <n v="5116667555"/>
        <n v="5116667559"/>
        <n v="5116667566"/>
        <n v="5116667953"/>
        <n v="5116667955"/>
        <n v="5116667958"/>
        <n v="5116667960"/>
        <n v="5116667950"/>
        <n v="5116667951"/>
        <n v="5116667954"/>
        <n v="5116654219"/>
        <n v="5116652061"/>
        <n v="5116655653"/>
        <n v="5116660347"/>
        <n v="5116655369"/>
        <n v="5116654978"/>
        <n v="5116655380"/>
        <n v="5116664073"/>
        <n v="5116664183"/>
        <n v="5116664185"/>
        <n v="5116664192"/>
        <n v="5116664074"/>
        <n v="5116664075"/>
        <n v="5116664076"/>
        <n v="5116664077"/>
        <n v="5116664078"/>
        <n v="5116664079"/>
        <n v="5116664180"/>
        <n v="5116664181"/>
        <n v="5116664182"/>
        <n v="5116664184"/>
        <n v="5116664518"/>
        <n v="5116664519"/>
        <n v="5116661490"/>
      </sharedItems>
    </cacheField>
    <cacheField name="Line Amount" numFmtId="4">
      <sharedItems containsSemiMixedTypes="0" containsString="0" containsNumber="1" minValue="4.59" maxValue="105554.88"/>
    </cacheField>
    <cacheField name="Quantity" numFmtId="165">
      <sharedItems containsSemiMixedTypes="0" containsString="0" containsNumber="1" containsInteger="1" minValue="1" maxValue="400"/>
    </cacheField>
    <cacheField name="Unit Price" numFmtId="4">
      <sharedItems containsSemiMixedTypes="0" containsString="0" containsNumber="1" minValue="0.19" maxValue="11316.49"/>
    </cacheField>
    <cacheField name="Status" numFmtId="0">
      <sharedItems/>
    </cacheField>
    <cacheField name="Item No." numFmtId="0">
      <sharedItems containsMixedTypes="1" containsNumber="1" containsInteger="1" minValue="6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">
  <r>
    <x v="0"/>
    <s v="001 L00230964 01/16/2023 5003527928 Diffusion caps for 4 07673-40180 K0 0.00 6.79 200.000 EA 1,358.00"/>
    <n v="1"/>
    <s v="L00230964 "/>
    <d v="2023-01-16T00:00:00"/>
    <n v="5003527928"/>
    <s v="07673-40180"/>
    <n v="6.79"/>
    <n v="200"/>
    <n v="1358"/>
    <n v="1358"/>
    <d v="2023-01-16T00:00:00"/>
  </r>
  <r>
    <x v="1"/>
    <s v="001 L00230964 01/16/2023 5003564185 Z-FLEX Cable Assy G4514-60612 K0 0.00 8.46 2.000 EA 16.92"/>
    <n v="1"/>
    <s v="L00230964 "/>
    <d v="2023-01-16T00:00:00"/>
    <n v="5003564185"/>
    <s v="Z-FLEX"/>
    <n v="8.4600000000000009"/>
    <n v="2"/>
    <n v="16.920000000000002"/>
    <n v="16.920000000000002"/>
    <d v="2023-01-16T00:00:00"/>
  </r>
  <r>
    <x v="2"/>
    <s v="001 L00231412 01/16/2023 5003598214 RP Syringe Carriage G4513-67970 K0 0.00 139.67 60.000 EA 8,380.20"/>
    <n v="1"/>
    <s v="L00231412 "/>
    <d v="2023-01-16T00:00:00"/>
    <n v="5003598214"/>
    <s v="G4513-67970"/>
    <n v="139.67000000000002"/>
    <n v="60"/>
    <n v="8380.2000000000007"/>
    <n v="8380.2000000000007"/>
    <d v="2023-01-16T00:00:00"/>
  </r>
  <r>
    <x v="3"/>
    <s v="001 L00231412 01/16/2023 5003603610 X-axis Drive Module G4514-67920 K0 0.00 133.69 5.000 EA 668.45"/>
    <n v="1"/>
    <s v="L00231412 "/>
    <d v="2023-01-16T00:00:00"/>
    <n v="5003603610"/>
    <s v="X-axis"/>
    <n v="133.69"/>
    <n v="5"/>
    <n v="668.45"/>
    <n v="668.45"/>
    <d v="2023-01-16T00:00:00"/>
  </r>
  <r>
    <x v="4"/>
    <s v="001 L00230964 01/16/2023 5003636516 MAIN CBL ASSY G2613-60590 K0 0.00 18.41 5.000 EA 92.05"/>
    <n v="1"/>
    <s v="L00230964 "/>
    <d v="2023-01-16T00:00:00"/>
    <n v="5003636516"/>
    <s v="G2613-60590"/>
    <n v="18.41"/>
    <n v="5"/>
    <n v="92.05"/>
    <n v="92.05"/>
    <d v="2023-01-16T00:00:00"/>
  </r>
  <r>
    <x v="5"/>
    <s v="001 L00230885 01/18/2023 5003450192 Analog &amp; Power PCA,8 G3450-61811 X0 0.00 195.08 5.000 EA 975.40"/>
    <n v="1"/>
    <s v="L00230885 "/>
    <d v="2023-01-18T00:00:00"/>
    <n v="5003450192"/>
    <s v="G3450-61811"/>
    <n v="195.07999999999998"/>
    <n v="5"/>
    <n v="975.4"/>
    <n v="975.4"/>
    <d v="2023-01-16T00:00:00"/>
  </r>
  <r>
    <x v="6"/>
    <s v="001 L00230947 01/18/2023 5003497527 Wire-Guide, propylen G2613-40140 X0 0.00 9.85 4.000 EA 39.40"/>
    <n v="1"/>
    <s v="L00230947 "/>
    <d v="2023-01-18T00:00:00"/>
    <n v="5003497527"/>
    <s v="Wire-Guide"/>
    <n v="9.85"/>
    <n v="4"/>
    <n v="39.4"/>
    <n v="39.4"/>
    <d v="2023-01-16T00:00:00"/>
  </r>
  <r>
    <x v="7"/>
    <s v="001 L00230950 01/18/2023 5003520592 Door Assembly G4567-60410 X0 0.00 4.09 8.000 EA 32.72"/>
    <n v="1"/>
    <s v="L00230950 "/>
    <d v="2023-01-18T00:00:00"/>
    <n v="5003520592"/>
    <s v="G4567-60410"/>
    <n v="4.09"/>
    <n v="8"/>
    <n v="32.72"/>
    <n v="32.72"/>
    <d v="2023-01-16T00:00:00"/>
  </r>
  <r>
    <x v="8"/>
    <s v="001 L00230950 01/18/2023 5003556635 Needle support inser G4513-40529 X0 0.00 0.98 60.000 EA 58.80"/>
    <n v="1"/>
    <s v="L00230950 "/>
    <d v="2023-01-18T00:00:00"/>
    <n v="5003556635"/>
    <s v="G4513-40529"/>
    <n v="0.98"/>
    <n v="60"/>
    <n v="58.8"/>
    <n v="58.8"/>
    <d v="2023-01-16T00:00:00"/>
  </r>
  <r>
    <x v="9"/>
    <s v="001 L00230950 01/18/2023 5003567912 Door Assembly G4567-60410 X0 0.00 4.09 2.000 EA 8.18"/>
    <n v="1"/>
    <s v="L00230950 "/>
    <d v="2023-01-18T00:00:00"/>
    <n v="5003567912"/>
    <s v="G4567-60410"/>
    <n v="4.09"/>
    <n v="2"/>
    <n v="8.18"/>
    <n v="76.52"/>
    <d v="2023-01-16T00:00:00"/>
  </r>
  <r>
    <x v="9"/>
    <s v="002 L00230950 01/18/2023 5003567912 Syringe Drive Belt G4513-80522 X0 0.00 2.01 34.000 EA 68.34"/>
    <n v="2"/>
    <s v="L00230950 "/>
    <d v="2023-01-18T00:00:00"/>
    <n v="5003567912"/>
    <s v="G4513-80522"/>
    <n v="2.0100000000000002"/>
    <n v="34"/>
    <n v="68.34"/>
    <n v="76.52"/>
    <d v="2023-01-16T00:00:00"/>
  </r>
  <r>
    <x v="10"/>
    <s v="001 L00230950 01/18/2023 5003573839 Wire-Guide, propylen G2613-40140 X0 0.00 9.85 16.000 EA 157.60"/>
    <n v="1"/>
    <s v="L00230950 "/>
    <d v="2023-01-18T00:00:00"/>
    <n v="5003573839"/>
    <s v="Wire-Guide"/>
    <n v="9.85"/>
    <n v="16"/>
    <n v="157.6"/>
    <n v="157.6"/>
    <d v="2023-01-16T00:00:00"/>
  </r>
  <r>
    <x v="11"/>
    <s v="001 L00230950 01/18/2023 5003605724 Diffusion caps for 4 07673-40180 X0 0.00 6.79 400.000 EA 2,716.00"/>
    <n v="1"/>
    <s v="L00230950 "/>
    <d v="2023-01-18T00:00:00"/>
    <n v="5003605724"/>
    <s v="07673-40180"/>
    <n v="6.79"/>
    <n v="400"/>
    <n v="2716"/>
    <n v="2716"/>
    <d v="2023-01-16T00:00:00"/>
  </r>
  <r>
    <x v="12"/>
    <s v="001 L00230950 01/18/2023 5003607728 MAIN CBL ASSY G2613-60590 X0 0.00 18.41 13.000 EA 239.33"/>
    <n v="1"/>
    <s v="L00230950 "/>
    <d v="2023-01-18T00:00:00"/>
    <n v="5003607728"/>
    <s v="G2613-60590"/>
    <n v="18.41"/>
    <n v="13"/>
    <n v="239.33"/>
    <n v="239.33"/>
    <d v="2023-01-16T00:00:00"/>
  </r>
  <r>
    <x v="13"/>
    <s v="001 L00230885 01/18/2023 5003613512 PCA-EPC 6890N G1575-60015 X0 0.00 124.81 4.000 EA 499.24"/>
    <n v="1"/>
    <s v="L00230885 "/>
    <d v="2023-01-18T00:00:00"/>
    <n v="5003613512"/>
    <n v="6"/>
    <n v="124.81"/>
    <n v="4"/>
    <n v="499.24"/>
    <n v="499.24"/>
    <d v="2023-01-16T00:00:00"/>
  </r>
  <r>
    <x v="14"/>
    <s v="001 L00230885 01/18/2023 5003620754 8890 Analog And Powe G3450-67006 X0 0.00 405.00 1.000 EA 405.00"/>
    <n v="1"/>
    <s v="L00230885 "/>
    <d v="2023-01-18T00:00:00"/>
    <n v="5003620754"/>
    <s v="G3450-67006"/>
    <n v="405"/>
    <n v="1"/>
    <n v="405"/>
    <n v="405"/>
    <d v="2023-01-16T00:00:00"/>
  </r>
  <r>
    <x v="15"/>
    <s v="001 L00230885 01/18/2023 5003621815 7820 FID Electromete G4331-61815 X0 0.00 109.49 14.000 EA 1,532.86"/>
    <n v="1"/>
    <s v="L00230885 "/>
    <d v="2023-01-18T00:00:00"/>
    <n v="5003621815"/>
    <s v="G4331-61815"/>
    <n v="109.49"/>
    <n v="14"/>
    <n v="1532.86"/>
    <n v="1532.86"/>
    <d v="2023-01-16T00:00:00"/>
  </r>
  <r>
    <x v="16"/>
    <s v="001 L00230885 01/18/2023 5003623538 Key Board Assembly G3430-60555 X0 0.00 146.41 12.000 EA 1,756.92"/>
    <n v="1"/>
    <s v="L00230885 "/>
    <d v="2023-01-18T00:00:00"/>
    <n v="5003623538"/>
    <s v="G3430-60555"/>
    <n v="146.41"/>
    <n v="12"/>
    <n v="1756.92"/>
    <n v="1756.92"/>
    <d v="2023-01-16T00:00:00"/>
  </r>
  <r>
    <x v="17"/>
    <s v="001 SUBPAY L00208426 01/18/2023 5003653001 Price variance G1362 X0 0.00 9.93 40.000 EA 397.20"/>
    <n v="1"/>
    <s v="SUBPAY L00208426 "/>
    <d v="2023-01-18T00:00:00"/>
    <n v="5003653001"/>
    <m/>
    <n v="9.93"/>
    <n v="40"/>
    <n v="397.2"/>
    <n v="5563.46"/>
    <d v="2023-01-16T00:00:00"/>
  </r>
  <r>
    <x v="17"/>
    <s v="002 SUBPAY L00208426 01/18/2023 5003653001 Subsequent Payment L X0 0.00 5,166.26 1.000 EA 5,166.26"/>
    <n v="2"/>
    <s v="SUBPAY L00208426 "/>
    <d v="2023-01-18T00:00:00"/>
    <n v="5003653001"/>
    <m/>
    <n v="5166.26"/>
    <n v="1"/>
    <n v="5166.26"/>
    <n v="5563.46"/>
    <d v="2023-01-16T00:00:00"/>
  </r>
  <r>
    <x v="18"/>
    <s v="001 L00231627 01/18/2023 5003507920 Mainframe Assy for 7 G8420-60350 K0 0.00 11,316.49 8.000 EA 90,531.92"/>
    <n v="1"/>
    <s v="L00231627 "/>
    <d v="2023-01-18T00:00:00"/>
    <n v="5003507920"/>
    <s v="G8420-60350"/>
    <n v="11316.49"/>
    <n v="8"/>
    <n v="90531.92"/>
    <n v="90531.92"/>
    <d v="2023-01-18T00:00:00"/>
  </r>
  <r>
    <x v="19"/>
    <s v="001 L00231627 01/18/2023 5003507939 Mainframe Assy G8400-60300 K0 0.00 11,316.49 2.000 EA 22,632.98"/>
    <n v="1"/>
    <s v="L00231627 "/>
    <d v="2023-01-18T00:00:00"/>
    <n v="5003507939"/>
    <s v="G8400-60300"/>
    <n v="11316.49"/>
    <n v="2"/>
    <n v="22632.98"/>
    <n v="22632.98"/>
    <d v="2023-01-18T00:00:00"/>
  </r>
  <r>
    <x v="20"/>
    <s v="001 L00231772 01/18/2023 5003611200 RF generator G3280-60360 K0 0.00 2,551.33 10.000 EA 25,513.30"/>
    <n v="1"/>
    <s v="L00231772 "/>
    <d v="2023-01-18T00:00:00"/>
    <n v="5003611200"/>
    <s v="G3280-60360"/>
    <n v="2551.33"/>
    <n v="10"/>
    <n v="25513.3"/>
    <n v="25513.3"/>
    <d v="2023-01-18T00:00:00"/>
  </r>
  <r>
    <x v="21"/>
    <s v="001 L00230953 01/17/2023 5003614551 Argon flow controlle G3280-67135 K0 0.00 569.52 40.000 EA 22,780.80"/>
    <n v="1"/>
    <s v="L00230953 "/>
    <d v="2023-01-17T00:00:00"/>
    <n v="5003614551"/>
    <s v="G3280-67135"/>
    <n v="569.52"/>
    <n v="40"/>
    <n v="22780.799999999999"/>
    <n v="22780.799999999999"/>
    <d v="2023-01-18T00:00:00"/>
  </r>
  <r>
    <x v="22"/>
    <s v="001 L00230953 01/17/2023 5003614579 RF Generator (Pb Fre G8400-67033 K0 0.00 2,553.56 10.000 EA 25,535.60"/>
    <n v="1"/>
    <s v="L00230953 "/>
    <d v="2023-01-17T00:00:00"/>
    <n v="5003614579"/>
    <s v="G8400-67033"/>
    <n v="2553.56"/>
    <n v="10"/>
    <n v="25535.599999999999"/>
    <n v="25535.599999999999"/>
    <d v="2023-01-18T00:00:00"/>
  </r>
  <r>
    <x v="23"/>
    <s v="001 L00230806 01/17/2023 5003631185 7650A Injector G4567-64000 K0 0.00 1,195.05 12.000 EA 14,340.60"/>
    <n v="1"/>
    <s v="L00230806 "/>
    <d v="2023-01-17T00:00:00"/>
    <n v="5003631185"/>
    <s v="G4567-64000"/>
    <n v="1195.05"/>
    <n v="12"/>
    <n v="14340.6"/>
    <n v="14340.6"/>
    <d v="2023-01-18T00:00:00"/>
  </r>
  <r>
    <x v="24"/>
    <s v="001 L00230963 01/17/2023 5003634382 RP Exterior Housing G4513-67573 K0 0.00 28.59 20.000 EA 571.80"/>
    <n v="1"/>
    <s v="L00230963 "/>
    <d v="2023-01-17T00:00:00"/>
    <n v="5003634382"/>
    <s v="G4513-67573"/>
    <n v="28.589999999999996"/>
    <n v="20"/>
    <n v="571.79999999999995"/>
    <n v="571.79999999999995"/>
    <d v="2023-01-18T00:00:00"/>
  </r>
  <r>
    <x v="25"/>
    <s v="001 L00230885 01/18/2023 5003553241 8890 Analog &amp; Power G3450-61812 X0 0.00 214.92 1.000 EA 214.92"/>
    <n v="1"/>
    <s v="L00230885 "/>
    <d v="2023-01-18T00:00:00"/>
    <n v="5003553241"/>
    <s v="G3450-61812"/>
    <n v="214.92"/>
    <n v="1"/>
    <n v="214.92"/>
    <n v="214.92"/>
    <d v="2023-01-18T00:00:00"/>
  </r>
  <r>
    <x v="26"/>
    <s v="001 L00230885 01/18/2023 5003590640 8890 Inlet TC Interf G3450-61870 X0 0.00 44.56 5.000 EA 222.80"/>
    <n v="1"/>
    <s v="L00230885 "/>
    <d v="2023-01-18T00:00:00"/>
    <n v="5003590640"/>
    <s v="G3450-61870"/>
    <n v="44.56"/>
    <n v="5"/>
    <n v="222.8"/>
    <n v="222.8"/>
    <d v="2023-01-18T00:00:00"/>
  </r>
  <r>
    <x v="27"/>
    <s v="001 L00231407 01/18/2023 5003623596 SHIP Kit - Rover G4514-60800 X0 0.00 106.01 3.000 EA 318.03"/>
    <n v="1"/>
    <s v="L00231407 "/>
    <d v="2023-01-18T00:00:00"/>
    <n v="5003623596"/>
    <s v="Rove"/>
    <n v="106.00999999999999"/>
    <n v="3"/>
    <n v="318.02999999999997"/>
    <n v="318.02999999999997"/>
    <d v="2023-01-18T00:00:00"/>
  </r>
  <r>
    <x v="28"/>
    <s v="001 2300944 01/18/2023 2351636785 Ship Carriage Suppor G4567-40340 I1 0.00 0.97 34.000 EA 32.98"/>
    <n v="1"/>
    <s v="2300944 "/>
    <d v="2023-01-18T00:00:00"/>
    <n v="2351636785"/>
    <s v="G4567-40340"/>
    <n v="0.96999999999999986"/>
    <n v="34"/>
    <n v="32.979999999999997"/>
    <n v="32.979999999999997"/>
    <d v="2023-01-18T00:00:00"/>
  </r>
  <r>
    <x v="29"/>
    <s v="001 L00230945 01/18/2023 2351641181 M3x10mm Nylon Screw G4514-20596 I1 0.00 0.19 30.000 EA 5.70"/>
    <n v="1"/>
    <s v="L00230945 "/>
    <d v="2023-01-18T00:00:00"/>
    <n v="2351641181"/>
    <s v="G4514-20596"/>
    <n v="0.19"/>
    <n v="30"/>
    <n v="5.7"/>
    <n v="5.7"/>
    <d v="2023-01-18T00:00:00"/>
  </r>
  <r>
    <x v="30"/>
    <s v="001 L00230945 01/18/2023 2351648296 PCB Spacer-Plastic S G2613-40200 I1 0.00 0.90 27.000 EA 24.30"/>
    <n v="1"/>
    <s v="L00230945 "/>
    <d v="2023-01-18T00:00:00"/>
    <n v="2351648296"/>
    <s v="Spacer-Plast"/>
    <n v="0.9"/>
    <n v="27"/>
    <n v="24.3"/>
    <n v="24.3"/>
    <d v="2023-01-18T00:00:00"/>
  </r>
  <r>
    <x v="31"/>
    <s v="001 2300944 01/18/2023 2351654595 Ship Carriage Suppor G4567-40340 I1 0.00 0.97 19.000 EA 18.43"/>
    <n v="1"/>
    <s v="2300944 "/>
    <d v="2023-01-18T00:00:00"/>
    <n v="2351654595"/>
    <s v="G4567-40340"/>
    <n v="0.97"/>
    <n v="19"/>
    <n v="18.43"/>
    <n v="18.43"/>
    <d v="2023-01-18T00:00:00"/>
  </r>
  <r>
    <x v="32"/>
    <s v="001 9622042210000614 01/18/2023 2351657513 CCM Board G1316-66535 I1 0.00 156.99 3.000 EA 470.97"/>
    <n v="1"/>
    <s v="9622042210000614 "/>
    <d v="2023-01-18T00:00:00"/>
    <n v="2351657513"/>
    <s v="G1316-66535"/>
    <n v="156.99"/>
    <n v="3"/>
    <n v="470.97"/>
    <n v="9105.42"/>
    <d v="2023-01-18T00:00:00"/>
  </r>
  <r>
    <x v="32"/>
    <s v="002 9622042210000614 01/18/2023 2351657513 CCM Board G1316-66535 I1 0.00 156.99 28.000 EA 4,395.72"/>
    <n v="2"/>
    <s v="9622042210000614 "/>
    <d v="2023-01-18T00:00:00"/>
    <n v="2351657513"/>
    <s v="G1316-66535"/>
    <n v="156.99"/>
    <n v="28"/>
    <n v="4395.72"/>
    <n v="9105.42"/>
    <d v="2023-01-18T00:00:00"/>
  </r>
  <r>
    <x v="32"/>
    <s v="003 9622042210000614 01/18/2023 2351657513 CCM Board G1316-66535 I1 0.00 156.99 27.000 EA 4,238.73"/>
    <n v="3"/>
    <s v="9622042210000614 "/>
    <d v="2023-01-18T00:00:00"/>
    <n v="2351657513"/>
    <s v="G1316-66535"/>
    <n v="156.98999999999998"/>
    <n v="27"/>
    <n v="4238.7299999999996"/>
    <n v="9105.42"/>
    <d v="2023-01-18T00:00:00"/>
  </r>
  <r>
    <x v="33"/>
    <s v="001 L00231312 01/18/2023 2351667069 PCA, AC BD G7000-61017 I1 0.00 152.61 29.000 EA 4,425.69"/>
    <n v="1"/>
    <s v="L00231312 "/>
    <d v="2023-01-18T00:00:00"/>
    <n v="2351667069"/>
    <s v="G7000-61017"/>
    <n v="152.60999999999999"/>
    <n v="29"/>
    <n v="4425.6899999999996"/>
    <n v="4425.6899999999996"/>
    <d v="2023-01-18T00:00:00"/>
  </r>
  <r>
    <x v="34"/>
    <s v="001 9622042210000614 01/18/2023 2351668234 Mainboard G4226-65000 I1 0.00 260.35 2.000 EA 520.70"/>
    <n v="1"/>
    <s v="9622042210000614 "/>
    <d v="2023-01-18T00:00:00"/>
    <n v="2351668234"/>
    <s v="G4226-65000"/>
    <n v="260.35000000000002"/>
    <n v="2"/>
    <n v="520.70000000000005"/>
    <n v="520.70000000000005"/>
    <d v="2023-01-18T00:00:00"/>
  </r>
  <r>
    <x v="35"/>
    <s v="001 L00230945 01/18/2023 2351676430 ALS Main Cable Assem G4514-60610 I1 0.00 12.64 7.000 EA 88.48"/>
    <n v="1"/>
    <s v="L00230945 "/>
    <d v="2023-01-18T00:00:00"/>
    <n v="2351676430"/>
    <s v="G4514-60610"/>
    <n v="12.64"/>
    <n v="7"/>
    <n v="88.48"/>
    <n v="88.48"/>
    <d v="2023-01-18T00:00:00"/>
  </r>
  <r>
    <x v="36"/>
    <s v="001 L00231271 01/18/2023 2351632982 HV-A PCA Tested (Pb- G8400-65818 I1 0.00 513.24 1.000 EA 513.24"/>
    <n v="1"/>
    <s v="L00231271 "/>
    <d v="2023-01-18T00:00:00"/>
    <n v="2351632982"/>
    <s v="PCA"/>
    <n v="513.24"/>
    <n v="1"/>
    <n v="513.24"/>
    <n v="513.24"/>
    <d v="2023-01-18T00:00:00"/>
  </r>
  <r>
    <x v="37"/>
    <s v="001 L00231271 01/18/2023 2351636021 HV-A PCA Tested (Pb- G8400-65818 I1 0.00 513.24 3.000 EA 1,539.72"/>
    <n v="1"/>
    <s v="L00231271 "/>
    <d v="2023-01-18T00:00:00"/>
    <n v="2351636021"/>
    <s v="PCA"/>
    <n v="513.24"/>
    <n v="3"/>
    <n v="1539.72"/>
    <n v="1539.72"/>
    <d v="2023-01-18T00:00:00"/>
  </r>
  <r>
    <x v="38"/>
    <s v="001 L00231271 01/18/2023 2351647844 HV-A PCA Tested (Pb- G8400-65818 I1 0.00 513.24 4.000 EA 2,052.96"/>
    <n v="1"/>
    <s v="L00231271 "/>
    <d v="2023-01-18T00:00:00"/>
    <n v="2351647844"/>
    <s v="PCA"/>
    <n v="513.24"/>
    <n v="4"/>
    <n v="2052.96"/>
    <n v="2052.96"/>
    <d v="2023-01-18T00:00:00"/>
  </r>
  <r>
    <x v="39"/>
    <s v="001 L00231362 01/13/2023 5003606166 Mainframe Assembly i G3450-60588 C5 0.00 1,388.88 54.000 EA 74,999.52"/>
    <n v="1"/>
    <s v="L00231362 "/>
    <d v="2023-01-13T00:00:00"/>
    <n v="5003606166"/>
    <s v="G3450-60588"/>
    <n v="1388.88"/>
    <n v="54"/>
    <n v="74999.520000000004"/>
    <n v="138971.70000000001"/>
    <d v="2023-01-13T00:00:00"/>
  </r>
  <r>
    <x v="39"/>
    <s v="002 L00231168 01/13/2023 5003613845 8890 PCA NPD Electro G3450-61884 C5 0.00 45.48 7.000 EA 318.36"/>
    <n v="2"/>
    <s v="L00231168 "/>
    <d v="2023-01-13T00:00:00"/>
    <n v="5003613845"/>
    <s v="G3450-61884"/>
    <n v="45.480000000000004"/>
    <n v="7"/>
    <n v="318.36"/>
    <n v="138971.70000000001"/>
    <d v="2023-01-13T00:00:00"/>
  </r>
  <r>
    <x v="39"/>
    <s v="003 L00231358 01/13/2023 5003618574 OVENUNIT HEATED MICR CP742834 C5 0.00 188.74 157.000 EA 29,632.18"/>
    <n v="3"/>
    <s v="L00231358 "/>
    <d v="2023-01-13T00:00:00"/>
    <n v="5003618574"/>
    <s v="CP742834"/>
    <n v="188.74"/>
    <n v="157"/>
    <n v="29632.18"/>
    <n v="138971.70000000001"/>
    <d v="2023-01-13T00:00:00"/>
  </r>
  <r>
    <x v="39"/>
    <s v="004 L00231359 01/13/2023 5003618574 Micro GC Main Board G3581-65000 C5 0.00 204.53 60.000 EA 12,271.80"/>
    <n v="4"/>
    <s v="L00231359 "/>
    <d v="2023-01-13T00:00:00"/>
    <n v="5003618574"/>
    <s v="G3581-65000"/>
    <n v="204.53"/>
    <n v="60"/>
    <n v="12271.8"/>
    <n v="138971.70000000001"/>
    <d v="2023-01-13T00:00:00"/>
  </r>
  <r>
    <x v="39"/>
    <s v="005 L00231359 01/13/2023 5003619201 PCA Channel TCD-Cont G3581-61011 C5 0.00 78.86 228.000 EA 17,980.08"/>
    <n v="5"/>
    <s v="L00231359 "/>
    <d v="2023-01-13T00:00:00"/>
    <n v="5003619201"/>
    <s v="G3581-61011"/>
    <n v="78.860000000000014"/>
    <n v="228"/>
    <n v="17980.080000000002"/>
    <n v="138971.70000000001"/>
    <d v="2023-01-13T00:00:00"/>
  </r>
  <r>
    <x v="39"/>
    <s v="006 L00231168 01/13/2023 5003620622 TCD Interface board G3432-61815 C5 0.00 56.18 3.000 EA 168.54"/>
    <n v="6"/>
    <s v="L00231168 "/>
    <d v="2023-01-13T00:00:00"/>
    <n v="5003620622"/>
    <s v="G3432-61815"/>
    <n v="56.18"/>
    <n v="3"/>
    <n v="168.54"/>
    <n v="138971.70000000001"/>
    <d v="2023-01-13T00:00:00"/>
  </r>
  <r>
    <x v="39"/>
    <s v="007 L00231168 01/13/2023 5003620622 Leadfree ECD Electro G3433-61810 C5 0.00 58.72 1.000 EA 58.72"/>
    <n v="7"/>
    <s v="L00231168 "/>
    <d v="2023-01-13T00:00:00"/>
    <n v="5003620622"/>
    <s v="G3433-61810"/>
    <n v="58.72"/>
    <n v="1"/>
    <n v="58.72"/>
    <n v="138971.70000000001"/>
    <d v="2023-01-13T00:00:00"/>
  </r>
  <r>
    <x v="39"/>
    <s v="008 L00231168 01/13/2023 5003620622 NPD Electrometer PCA G3434-61810 C5 0.00 50.47 2.000 EA 100.94"/>
    <n v="8"/>
    <s v="L00231168 "/>
    <d v="2023-01-13T00:00:00"/>
    <n v="5003620622"/>
    <s v="G3434-61810"/>
    <n v="50.47"/>
    <n v="2"/>
    <n v="100.94"/>
    <n v="138971.70000000001"/>
    <d v="2023-01-13T00:00:00"/>
  </r>
  <r>
    <x v="39"/>
    <s v="009 L00231168 01/13/2023 5003620622 8890A Programmed Pro G3450-61110 C5 0.00 169.24 2.000 EA 338.48"/>
    <n v="9"/>
    <s v="L00231168 "/>
    <d v="2023-01-13T00:00:00"/>
    <n v="5003620622"/>
    <s v="G3450-61110"/>
    <n v="169.24"/>
    <n v="2"/>
    <n v="338.48"/>
    <n v="138971.70000000001"/>
    <d v="2023-01-13T00:00:00"/>
  </r>
  <r>
    <x v="39"/>
    <s v="010 L00231168 01/13/2023 5003620622 8890 Analog &amp; Power G3450-61810 C5 0.00 207.56 2.000 EA 415.12"/>
    <n v="10"/>
    <s v="L00231168 "/>
    <d v="2023-01-13T00:00:00"/>
    <n v="5003620622"/>
    <s v="G3450-61810"/>
    <n v="207.56"/>
    <n v="2"/>
    <n v="415.12"/>
    <n v="138971.70000000001"/>
    <d v="2023-01-13T00:00:00"/>
  </r>
  <r>
    <x v="39"/>
    <s v="011 L00231168 01/13/2023 5003620622 8890 AC Board Assemb G3450-61820 C5 0.00 23.98 1.000 EA 23.98"/>
    <n v="11"/>
    <s v="L00231168 "/>
    <d v="2023-01-13T00:00:00"/>
    <n v="5003620622"/>
    <s v="G3450-61820"/>
    <n v="23.98"/>
    <n v="1"/>
    <n v="23.98"/>
    <n v="138971.70000000001"/>
    <d v="2023-01-13T00:00:00"/>
  </r>
  <r>
    <x v="39"/>
    <s v="012 L00231168 01/13/2023 5003620622 8890E Inlet EPC Boar G3450-61880 C5 0.00 43.98 1.000 EA 43.98"/>
    <n v="12"/>
    <s v="L00231168 "/>
    <d v="2023-01-13T00:00:00"/>
    <n v="5003620622"/>
    <s v="G3450-61880"/>
    <n v="43.98"/>
    <n v="1"/>
    <n v="43.98"/>
    <n v="138971.70000000001"/>
    <d v="2023-01-13T00:00:00"/>
  </r>
  <r>
    <x v="39"/>
    <s v="013 L00231168 01/13/2023 5003620622 PCA Pressure Sensor G3581-61010 C5 0.00 28.28 1.000 EA 28.28"/>
    <n v="13"/>
    <s v="L00231168 "/>
    <d v="2023-01-13T00:00:00"/>
    <n v="5003620622"/>
    <s v="G3581-61010"/>
    <n v="28.28"/>
    <n v="1"/>
    <n v="28.28"/>
    <n v="138971.70000000001"/>
    <d v="2023-01-13T00:00:00"/>
  </r>
  <r>
    <x v="39"/>
    <s v="014 L00231168 01/13/2023 5003620622 PCA Channel TCD-Cont G3581-61011 C5 0.00 78.45 2.000 EA 156.90"/>
    <n v="14"/>
    <s v="L00231168 "/>
    <d v="2023-01-13T00:00:00"/>
    <n v="5003620622"/>
    <s v="G3581-61011"/>
    <n v="78.45"/>
    <n v="2"/>
    <n v="156.9"/>
    <n v="138971.70000000001"/>
    <d v="2023-01-13T00:00:00"/>
  </r>
  <r>
    <x v="39"/>
    <s v="015 L00231168 01/13/2023 5003620622 Micro GC Main Board G3581-65000 C5 0.00 204.55 3.000 EA 613.65"/>
    <n v="15"/>
    <s v="L00231168 "/>
    <d v="2023-01-13T00:00:00"/>
    <n v="5003620622"/>
    <s v="G3581-65000"/>
    <n v="204.54999999999998"/>
    <n v="3"/>
    <n v="613.65"/>
    <n v="138971.70000000001"/>
    <d v="2023-01-13T00:00:00"/>
  </r>
  <r>
    <x v="39"/>
    <s v="016 L00231168 01/13/2023 5003620622 7820 FID Electromete G4331-61815 C5 0.00 93.40 1.000 EA 93.40"/>
    <n v="16"/>
    <s v="L00231168 "/>
    <d v="2023-01-13T00:00:00"/>
    <n v="5003620622"/>
    <s v="G4331-61815"/>
    <n v="93.4"/>
    <n v="1"/>
    <n v="93.4"/>
    <n v="138971.70000000001"/>
    <d v="2023-01-13T00:00:00"/>
  </r>
  <r>
    <x v="39"/>
    <s v="017 L00231168 01/13/2023 5003620622 Oven Interface PCA G4511-61811 C5 0.00 12.36 2.000 EA 24.72"/>
    <n v="17"/>
    <s v="L00231168 "/>
    <d v="2023-01-13T00:00:00"/>
    <n v="5003620622"/>
    <s v="G4511-61811"/>
    <n v="12.36"/>
    <n v="2"/>
    <n v="24.72"/>
    <n v="138971.70000000001"/>
    <d v="2023-01-13T00:00:00"/>
  </r>
  <r>
    <x v="39"/>
    <s v="018 L00231168 01/13/2023 5003620622 Tray Interface PCA G4511-61840 C5 0.00 5.48 1.000 EA 5.48"/>
    <n v="18"/>
    <s v="L00231168 "/>
    <d v="2023-01-13T00:00:00"/>
    <n v="5003620622"/>
    <s v="G4511-61840"/>
    <n v="5.48"/>
    <n v="1"/>
    <n v="5.48"/>
    <n v="138971.70000000001"/>
    <d v="2023-01-13T00:00:00"/>
  </r>
  <r>
    <x v="39"/>
    <s v="019 L00231168 01/13/2023 5003620622 Short Y Interface PC G4511-61848 C5 0.00 11.74 2.000 EA 23.48"/>
    <n v="19"/>
    <s v="L00231168 "/>
    <d v="2023-01-13T00:00:00"/>
    <n v="5003620622"/>
    <s v="G4511-61848"/>
    <n v="11.74"/>
    <n v="2"/>
    <n v="23.48"/>
    <n v="138971.70000000001"/>
    <d v="2023-01-13T00:00:00"/>
  </r>
  <r>
    <x v="39"/>
    <s v="020 L00231168 01/13/2023 5003620622 rDIB Drive Interface G4514-61812 C5 0.00 4.59 1.000 EA 4.59"/>
    <n v="20"/>
    <s v="L00231168 "/>
    <d v="2023-01-13T00:00:00"/>
    <n v="5003620622"/>
    <s v="G4514-61812"/>
    <n v="4.59"/>
    <n v="1"/>
    <n v="4.59"/>
    <n v="138971.70000000001"/>
    <d v="2023-01-13T00:00:00"/>
  </r>
  <r>
    <x v="39"/>
    <s v="021 L00231168 01/13/2023 5003620622 7697 Headspace Motor G4556-61820 C5 0.00 11.01 1.000 EA 11.01"/>
    <n v="21"/>
    <s v="L00231168 "/>
    <d v="2023-01-13T00:00:00"/>
    <n v="5003620622"/>
    <s v="G4556-61820"/>
    <n v="11.01"/>
    <n v="1"/>
    <n v="11.01"/>
    <n v="138971.70000000001"/>
    <d v="2023-01-13T00:00:00"/>
  </r>
  <r>
    <x v="39"/>
    <s v="022 L00231168 01/13/2023 5003620622 PCA, Carrier Board G4580-61811 C5 0.00 273.22 3.000 EA 819.66"/>
    <n v="22"/>
    <s v="L00231168 "/>
    <d v="2023-01-13T00:00:00"/>
    <n v="5003620622"/>
    <s v="G4580-61811"/>
    <n v="273.21999999999997"/>
    <n v="3"/>
    <n v="819.66"/>
    <n v="138971.70000000001"/>
    <d v="2023-01-13T00:00:00"/>
  </r>
  <r>
    <x v="39"/>
    <s v="023 L00231168 01/13/2023 5003620622 PCA, Inlet Pneumatic G4585-61810 C5 0.00 40.37 1.000 EA 40.37"/>
    <n v="23"/>
    <s v="L00231168 "/>
    <d v="2023-01-13T00:00:00"/>
    <n v="5003620622"/>
    <s v="G4585-61810"/>
    <n v="40.369999999999997"/>
    <n v="1"/>
    <n v="40.369999999999997"/>
    <n v="138971.70000000001"/>
    <d v="2023-01-13T00:00:00"/>
  </r>
  <r>
    <x v="39"/>
    <s v="024 L00231168 01/13/2023 5003620622 PCA, Detector Pneuma G4585-61820 C5 0.00 40.56 5.000 EA 202.80"/>
    <n v="24"/>
    <s v="L00231168 "/>
    <d v="2023-01-13T00:00:00"/>
    <n v="5003620622"/>
    <s v="G4585-61820"/>
    <n v="40.56"/>
    <n v="5"/>
    <n v="202.8"/>
    <n v="138971.70000000001"/>
    <d v="2023-01-13T00:00:00"/>
  </r>
  <r>
    <x v="39"/>
    <s v="025 L00231168 01/13/2023 5003620622 PCA, Inlet Pneumatic G4585-61810 C5 0.00 45.82 13.000 EA 595.66"/>
    <n v="25"/>
    <s v="L00231168 "/>
    <d v="2023-01-13T00:00:00"/>
    <n v="5003620622"/>
    <s v="G4585-61810"/>
    <n v="45.82"/>
    <n v="13"/>
    <n v="595.66"/>
    <n v="138971.70000000001"/>
    <d v="2023-01-13T00:00:00"/>
  </r>
  <r>
    <x v="40"/>
    <s v="001 L00230339 01/12/2023 5003391662 Encoder Interpolator M7300-61011 AU 0.00 64.91 30.000 EA 1,947.30 9027900000"/>
    <n v="1"/>
    <s v="L00230339 "/>
    <d v="2023-01-12T00:00:00"/>
    <n v="5003391662"/>
    <s v="M7300-61011"/>
    <n v="64.91"/>
    <n v="30"/>
    <n v="1947.3"/>
    <n v="1947.3"/>
    <d v="2023-01-13T00:00:00"/>
  </r>
  <r>
    <x v="41"/>
    <s v="001 01/13/2023 01/13/2023 5003614642 Main PCA - Tested G8400-65805 J3 0.00 339.73 5.000 EA 1,698.65"/>
    <n v="1"/>
    <s v="No packslip"/>
    <d v="2023-01-13T00:00:00"/>
    <s v=" 01/13/2023 "/>
    <s v="Test"/>
    <n v="339.73"/>
    <n v="5"/>
    <n v="1698.65"/>
    <n v="39337.83"/>
    <d v="2023-01-13T00:00:00"/>
  </r>
  <r>
    <x v="41"/>
    <s v="002 01/13/2023 01/13/2023 5003632197 G4513A Injector (COO G4513-64000 J3 0.00 685.72 8.000 EA 5,485.76"/>
    <n v="2"/>
    <s v="No packslip"/>
    <d v="2023-01-13T00:00:00"/>
    <s v=" 01/13/2023 "/>
    <s v="G4513-64000"/>
    <n v="685.72"/>
    <n v="8"/>
    <n v="5485.76"/>
    <n v="39337.83"/>
    <d v="2023-01-13T00:00:00"/>
  </r>
  <r>
    <x v="41"/>
    <s v="003 01/13/2023 01/13/2023 5003632197 G4514A Tray (COO-CN) G4514-64000 J3 0.00 1,127.15 1.000 EA 1,127.15"/>
    <n v="3"/>
    <s v="No packslip"/>
    <d v="2023-01-13T00:00:00"/>
    <s v=" 01/13/2023 "/>
    <s v="G"/>
    <n v="1127.1500000000001"/>
    <n v="1"/>
    <n v="1127.1500000000001"/>
    <n v="39337.83"/>
    <d v="2023-01-13T00:00:00"/>
  </r>
  <r>
    <x v="41"/>
    <s v="004 01/13/2023 01/13/2023 5003632197 111 Vial Model Tray G4556-64014 J3 0.00 1,043.19 1.000 EA 1,043.19"/>
    <n v="4"/>
    <s v="No packslip"/>
    <d v="2023-01-13T00:00:00"/>
    <s v=" 01/13/2023 "/>
    <s v="G4556-64014"/>
    <n v="1043.19"/>
    <n v="1"/>
    <n v="1043.19"/>
    <n v="39337.83"/>
    <d v="2023-01-13T00:00:00"/>
  </r>
  <r>
    <x v="41"/>
    <s v="005 01/13/2023 01/13/2023 5003644769 G4513A Injector (COO G4513-64000 J3 0.00 685.72 24.000 EA 16,457.28"/>
    <n v="5"/>
    <s v="No packslip"/>
    <d v="2023-01-13T00:00:00"/>
    <s v=" 01/13/2023 "/>
    <s v="G4513-64000"/>
    <n v="685.71999999999991"/>
    <n v="24"/>
    <n v="16457.28"/>
    <n v="39337.83"/>
    <d v="2023-01-13T00:00:00"/>
  </r>
  <r>
    <x v="41"/>
    <s v="006 01/13/2023 01/13/2023 5003644769 G4514A Tray (COO-CN) G4514-64000 J3 0.00 1,127.15 12.000 EA 13,525.80"/>
    <n v="6"/>
    <s v="No packslip"/>
    <d v="2023-01-13T00:00:00"/>
    <s v=" 01/13/2023 "/>
    <s v="G"/>
    <n v="1127.1499999999999"/>
    <n v="12"/>
    <n v="13525.8"/>
    <n v="39337.83"/>
    <d v="2023-01-13T00:00:00"/>
  </r>
  <r>
    <x v="42"/>
    <s v="001 L00230946 01/13/2023 2351663396 7697A Tray Rack G4556-60019 I1 0.00 17.02 12.000 EA 204.24"/>
    <n v="1"/>
    <s v="L00230946 "/>
    <d v="2023-01-13T00:00:00"/>
    <n v="2351663396"/>
    <s v="G4556-60019"/>
    <n v="17.02"/>
    <n v="12"/>
    <n v="204.24"/>
    <n v="3110.24"/>
    <d v="2023-01-13T00:00:00"/>
  </r>
  <r>
    <x v="42"/>
    <s v="002 L00231069 01/13/2023 2351668234 Mainboard G4226-65000 I1 0.00 260.35 10.000 EA 2,603.50"/>
    <n v="2"/>
    <s v="L00231069 "/>
    <d v="2023-01-13T00:00:00"/>
    <n v="2351668234"/>
    <s v="G4226-65000"/>
    <n v="260.35000000000002"/>
    <n v="10"/>
    <n v="2603.5"/>
    <n v="3110.24"/>
    <d v="2023-01-13T00:00:00"/>
  </r>
  <r>
    <x v="42"/>
    <s v="003 L00230946 01/13/2023 2351675118 Tray Gripper Assembl G2614-60571 I1 0.00 30.25 10.000 EA 302.50"/>
    <n v="3"/>
    <s v="L00230946 "/>
    <d v="2023-01-13T00:00:00"/>
    <n v="2351675118"/>
    <s v="G2614-60571"/>
    <n v="30.25"/>
    <n v="10"/>
    <n v="302.5"/>
    <n v="3110.24"/>
    <d v="2023-01-13T00:00:00"/>
  </r>
  <r>
    <x v="43"/>
    <s v="001 REQ BY: LIN LAN 01/16/2023 5003437452 PPV for cable on G63 K0 0.00 112.40 1.000 EA 112.40"/>
    <n v="1"/>
    <s v="REQ BY: LIN LAN "/>
    <d v="2023-01-16T00:00:00"/>
    <n v="5003437452"/>
    <m/>
    <n v="112.4"/>
    <n v="1"/>
    <n v="112.4"/>
    <n v="41026.19"/>
    <d v="2023-01-16T00:00:00"/>
  </r>
  <r>
    <x v="43"/>
    <s v="002 L00231187 01/16/2023 5003611213 Water manifold assy G8400-60345 K0 0.00 338.57 41.000 EA 13,881.37"/>
    <n v="2"/>
    <s v="L00231187 "/>
    <d v="2023-01-16T00:00:00"/>
    <n v="5003611213"/>
    <s v="G8400-60345"/>
    <n v="338.57"/>
    <n v="41"/>
    <n v="13881.37"/>
    <n v="41026.19"/>
    <d v="2023-01-16T00:00:00"/>
  </r>
  <r>
    <x v="43"/>
    <s v="003 L00231187 01/16/2023 5003611224 P501 processor modul G8400-65853 K0 0.00 99.55 48.000 EA 4,778.40"/>
    <n v="3"/>
    <s v="L00231187 "/>
    <d v="2023-01-16T00:00:00"/>
    <n v="5003611224"/>
    <s v="G8400-65853"/>
    <n v="99.55"/>
    <n v="48"/>
    <n v="4778.3999999999996"/>
    <n v="41026.19"/>
    <d v="2023-01-16T00:00:00"/>
  </r>
  <r>
    <x v="43"/>
    <s v="004 L00231187 01/16/2023 5003614304 PCA, Qcard carrier G6301-61048 K0 0.00 319.02 18.000 EA 5,742.36"/>
    <n v="4"/>
    <s v="L00231187 "/>
    <d v="2023-01-16T00:00:00"/>
    <n v="5003614304"/>
    <s v="G6301-61048"/>
    <n v="319.02"/>
    <n v="18"/>
    <n v="5742.36"/>
    <n v="41026.19"/>
    <d v="2023-01-16T00:00:00"/>
  </r>
  <r>
    <x v="43"/>
    <s v="005 L00231353 01/16/2023 5003618561 ALS Controller G4350-63529 K0 0.00 85.10 21.000 EA 1,787.10"/>
    <n v="5"/>
    <s v="L00231353 "/>
    <d v="2023-01-16T00:00:00"/>
    <n v="5003618561"/>
    <s v="G4350-63529"/>
    <n v="85.1"/>
    <n v="21"/>
    <n v="1787.1"/>
    <n v="41026.19"/>
    <d v="2023-01-16T00:00:00"/>
  </r>
  <r>
    <x v="43"/>
    <s v="006 L00231353 01/16/2023 5003630470 FPD Interface board G3435-61810 K0 0.00 102.18 4.000 EA 408.72"/>
    <n v="6"/>
    <s v="L00231353 "/>
    <d v="2023-01-16T00:00:00"/>
    <n v="5003630470"/>
    <s v="G3435-61810"/>
    <n v="102.18"/>
    <n v="4"/>
    <n v="408.72"/>
    <n v="41026.19"/>
    <d v="2023-01-16T00:00:00"/>
  </r>
  <r>
    <x v="43"/>
    <s v="007 L00231187 01/16/2023 5003640603 QP Controller PCA Te G3280-65853 K0 0.00 411.77 32.000 EA 13,176.64"/>
    <n v="7"/>
    <s v="L00231187 "/>
    <d v="2023-01-16T00:00:00"/>
    <n v="5003640603"/>
    <s v="G3280-65853"/>
    <n v="411.77"/>
    <n v="32"/>
    <n v="13176.64"/>
    <n v="41026.19"/>
    <d v="2023-01-16T00:00:00"/>
  </r>
  <r>
    <x v="43"/>
    <s v="008 L00231148 01/15/2023 5003642177 Water Flow Meter G3280-60203 K0 0.00 113.92 10.000 EA 1,139.20"/>
    <n v="8"/>
    <s v="L00231148 "/>
    <d v="2023-01-15T00:00:00"/>
    <n v="5003642177"/>
    <s v="G3280-60203"/>
    <n v="113.92"/>
    <n v="10"/>
    <n v="1139.2"/>
    <n v="41026.19"/>
    <d v="2023-01-16T00:00:00"/>
  </r>
  <r>
    <x v="44"/>
    <s v="001 L00231188 01/13/2023 5003618674 PCA Channel TCD-Cont G3581-61011 X0 0.00 78.86 4.000 EA 315.44"/>
    <n v="1"/>
    <s v="L00231188 "/>
    <d v="2023-01-13T00:00:00"/>
    <n v="5003618674"/>
    <s v="TCD-Cont"/>
    <n v="78.86"/>
    <n v="4"/>
    <n v="315.44"/>
    <n v="315.44"/>
    <d v="2023-01-16T00:00:00"/>
  </r>
  <r>
    <x v="45"/>
    <s v="001 L00230956 01/13/2023 5003587373 Syr Drive Tensioner G4513-60517 X0 0.00 13.75 2.000 EA 27.50"/>
    <n v="1"/>
    <s v="L00230956 "/>
    <d v="2023-01-13T00:00:00"/>
    <n v="5003587373"/>
    <s v="G4513-60517"/>
    <n v="13.75"/>
    <n v="2"/>
    <n v="27.5"/>
    <n v="27.5"/>
    <d v="2023-01-16T00:00:00"/>
  </r>
  <r>
    <x v="46"/>
    <s v="001 SR207813 01/13/2023 5003497824 G3280-40300 Sample K0 0.00 59.00 5.000 EA 295.00"/>
    <n v="1"/>
    <s v="SR207813 "/>
    <d v="2023-01-13T00:00:00"/>
    <n v="5003497824"/>
    <s v="G3280-40300"/>
    <n v="59"/>
    <n v="5"/>
    <n v="295"/>
    <n v="792.75"/>
    <d v="2023-01-13T00:00:00"/>
  </r>
  <r>
    <x v="46"/>
    <s v="002 L00231277 01/13/2023 5003642272 P501 processor modul G8400-65853 K0 0.00 99.55 5.000 EA 497.75"/>
    <n v="2"/>
    <s v="L00231277 "/>
    <d v="2023-01-13T00:00:00"/>
    <n v="5003642272"/>
    <s v="G8400-65853"/>
    <n v="99.55"/>
    <n v="5"/>
    <n v="497.75"/>
    <n v="792.75"/>
    <d v="2023-01-13T00:00:00"/>
  </r>
  <r>
    <x v="47"/>
    <s v="001 L00231068 01/17/2023 5003400860 Mainboard Infinity P G4220-65800 X0 0.00 456.51 14.000 EA 6,391.14"/>
    <n v="1"/>
    <s v="L00231068 "/>
    <d v="2023-01-17T00:00:00"/>
    <n v="5003400860"/>
    <s v="G4220-65800"/>
    <n v="456.51000000000005"/>
    <n v="14"/>
    <n v="6391.14"/>
    <n v="6391.14"/>
    <d v="2023-01-13T00:00:00"/>
  </r>
  <r>
    <x v="48"/>
    <s v="001 L00230950 01/17/2023 5003605724 Mounting post for 76 G4513-20561 X0 0.00 3.93 30.000 EA 117.90"/>
    <n v="1"/>
    <s v="L00230950 "/>
    <d v="2023-01-17T00:00:00"/>
    <n v="5003605724"/>
    <s v="G4513-20561"/>
    <n v="3.93"/>
    <n v="30"/>
    <n v="117.9"/>
    <n v="117.9"/>
    <d v="2023-01-13T00:00:00"/>
  </r>
  <r>
    <x v="49"/>
    <s v="001 L00230957 01/17/2023 5003614416 Argon flow controlle G3280-67135 X0 0.00 569.52 45.000 EA 25,628.40"/>
    <n v="1"/>
    <s v="L00230957 "/>
    <d v="2023-01-17T00:00:00"/>
    <n v="5003614416"/>
    <s v="G3280-67135"/>
    <n v="569.52"/>
    <n v="45"/>
    <n v="25628.400000000001"/>
    <n v="25628.400000000001"/>
    <d v="2023-01-13T00:00:00"/>
  </r>
  <r>
    <x v="50"/>
    <s v="001 L00231254 01/16/2023 5003580407 ALS Interface PCA G3450-61841 K0 0.00 16.45 1.000 EA 16.45"/>
    <n v="1"/>
    <s v="L00231254 "/>
    <d v="2023-01-16T00:00:00"/>
    <n v="5003580407"/>
    <s v="G3450-61841"/>
    <n v="16.45"/>
    <n v="1"/>
    <n v="16.45"/>
    <n v="65700.41"/>
    <d v="2023-01-17T00:00:00"/>
  </r>
  <r>
    <x v="50"/>
    <s v="002 L00230890 01/16/2023 5003607370 Analog &amp; Power PCA,8 G3450-61811 K0 0.00 195.08 32.000 EA 6,242.56"/>
    <n v="2"/>
    <s v="L00230890 "/>
    <d v="2023-01-16T00:00:00"/>
    <n v="5003607370"/>
    <s v="G3450-61811"/>
    <n v="195.08"/>
    <n v="32"/>
    <n v="6242.56"/>
    <n v="65700.41"/>
    <d v="2023-01-17T00:00:00"/>
  </r>
  <r>
    <x v="50"/>
    <s v="003 L00230890 01/16/2023 5003607370 Lead Free Analog And G3430-61850 K0 0.00 187.75 12.000 EA 2,253.00"/>
    <n v="3"/>
    <s v="L00230890 "/>
    <d v="2023-01-16T00:00:00"/>
    <n v="5003607370"/>
    <s v="G3430-61850"/>
    <n v="187.75"/>
    <n v="12"/>
    <n v="2253"/>
    <n v="65700.41"/>
    <d v="2023-01-17T00:00:00"/>
  </r>
  <r>
    <x v="50"/>
    <s v="004 L00230890 01/16/2023 5003607370 FID Electrometer PCA G3431-61815 K0 0.00 70.99 16.000 EA 1,135.84"/>
    <n v="4"/>
    <s v="L00230890 "/>
    <d v="2023-01-16T00:00:00"/>
    <n v="5003607370"/>
    <s v="G3431-61815"/>
    <n v="70.989999999999995"/>
    <n v="16"/>
    <n v="1135.8399999999999"/>
    <n v="65700.41"/>
    <d v="2023-01-17T00:00:00"/>
  </r>
  <r>
    <x v="50"/>
    <s v="005 L00231843 01/16/2023 5003611200 RF generator G3280-60360 K0 0.00 2,551.33 8.000 EA 20,410.64"/>
    <n v="5"/>
    <s v="L00231843 "/>
    <d v="2023-01-16T00:00:00"/>
    <n v="5003611200"/>
    <s v="G3280-60360"/>
    <n v="2551.33"/>
    <n v="8"/>
    <n v="20410.64"/>
    <n v="65700.41"/>
    <d v="2023-01-17T00:00:00"/>
  </r>
  <r>
    <x v="50"/>
    <s v="006 L00230861 01/16/2023 5003613224 PCA,Grid Plate C (Sh G1996-61104 K0 0.00 13.63 4.000 EA 54.52"/>
    <n v="6"/>
    <s v="L00230861 "/>
    <d v="2023-01-16T00:00:00"/>
    <n v="5003613224"/>
    <s v="G1996-61104"/>
    <n v="13.63"/>
    <n v="4"/>
    <n v="54.52"/>
    <n v="65700.41"/>
    <d v="2023-01-17T00:00:00"/>
  </r>
  <r>
    <x v="50"/>
    <s v="007 L00230861 01/16/2023 5003614326 PCA, PMT Board, Scan G4900-61821 K0 0.00 656.91 9.000 EA 5,912.19"/>
    <n v="7"/>
    <s v="L00230861 "/>
    <d v="2023-01-16T00:00:00"/>
    <n v="5003614326"/>
    <s v="G4900-61821"/>
    <n v="656.91"/>
    <n v="9"/>
    <n v="5912.19"/>
    <n v="65700.41"/>
    <d v="2023-01-17T00:00:00"/>
  </r>
  <r>
    <x v="50"/>
    <s v="008 L00230861 01/16/2023 5003614340 PCA, PLX with Serial G2581-61202 K0 0.00 403.78 34.000 EA 13,728.52"/>
    <n v="8"/>
    <s v="L00230861 "/>
    <d v="2023-01-16T00:00:00"/>
    <n v="5003614340"/>
    <s v="G2581-61202"/>
    <n v="403.78000000000003"/>
    <n v="34"/>
    <n v="13728.52"/>
    <n v="65700.41"/>
    <d v="2023-01-17T00:00:00"/>
  </r>
  <r>
    <x v="50"/>
    <s v="009 L00230861 01/16/2023 5003614365 Ar EPC-I PCA - Teste G8400-65811 K0 0.00 189.64 30.000 EA 5,689.20"/>
    <n v="9"/>
    <s v="L00230861 "/>
    <d v="2023-01-16T00:00:00"/>
    <n v="5003614365"/>
    <s v="PCA"/>
    <n v="189.64"/>
    <n v="30"/>
    <n v="5689.2"/>
    <n v="65700.41"/>
    <d v="2023-01-17T00:00:00"/>
  </r>
  <r>
    <x v="50"/>
    <s v="010 L00231254 01/16/2023 5003615337 8890 AC Board Assemb G3450-61820 K0 0.00 27.90 4.000 EA 111.60"/>
    <n v="10"/>
    <s v="L00231254 "/>
    <d v="2023-01-16T00:00:00"/>
    <n v="5003615337"/>
    <s v="G3450-61820"/>
    <n v="27.9"/>
    <n v="4"/>
    <n v="111.6"/>
    <n v="65700.41"/>
    <d v="2023-01-17T00:00:00"/>
  </r>
  <r>
    <x v="50"/>
    <s v="011 L00231254 01/16/2023 5003618561 Touchscreen Assy,886 G3450-60573 K0 0.00 92.32 10.000 EA 923.20"/>
    <n v="11"/>
    <s v="L00231254 "/>
    <d v="2023-01-16T00:00:00"/>
    <n v="5003618561"/>
    <s v="G3450-60573"/>
    <n v="92.320000000000007"/>
    <n v="10"/>
    <n v="923.2"/>
    <n v="65700.41"/>
    <d v="2023-01-17T00:00:00"/>
  </r>
  <r>
    <x v="50"/>
    <s v="012 L00231254 01/16/2023 5003618561 Touchscreen Assy,886 G3450-60573 K0 0.00 92.32 5.000 EA 461.60"/>
    <n v="12"/>
    <s v="L00231254 "/>
    <d v="2023-01-16T00:00:00"/>
    <n v="5003618561"/>
    <s v="G3450-60573"/>
    <n v="92.320000000000007"/>
    <n v="5"/>
    <n v="461.6"/>
    <n v="65700.41"/>
    <d v="2023-01-17T00:00:00"/>
  </r>
  <r>
    <x v="50"/>
    <s v="013 L00230861 01/16/2023 5003619217 PCA, PMT Board, Scan G4900-61821 K0 0.00 656.91 3.000 EA 1,970.73"/>
    <n v="13"/>
    <s v="L00230861 "/>
    <d v="2023-01-16T00:00:00"/>
    <n v="5003619217"/>
    <s v="G4900-61821"/>
    <n v="656.91"/>
    <n v="3"/>
    <n v="1970.73"/>
    <n v="65700.41"/>
    <d v="2023-01-17T00:00:00"/>
  </r>
  <r>
    <x v="50"/>
    <s v="014 L00230861 01/16/2023 5003619256 4.0 GHz Acquisition G1969-61204 K0 0.00 1,995.64 1.000 EA 1,995.64"/>
    <n v="14"/>
    <s v="L00230861 "/>
    <d v="2023-01-16T00:00:00"/>
    <n v="5003619256"/>
    <s v="G1969-61204"/>
    <n v="1995.64"/>
    <n v="1"/>
    <n v="1995.64"/>
    <n v="65700.41"/>
    <d v="2023-01-17T00:00:00"/>
  </r>
  <r>
    <x v="50"/>
    <s v="015 L00231254 01/16/2023 5003627825 Lead Free Logic Boar G3430-61820 K0 0.00 99.89 48.000 EA 4,794.72"/>
    <n v="15"/>
    <s v="L00231254 "/>
    <d v="2023-01-16T00:00:00"/>
    <n v="5003627825"/>
    <s v="G3430-61820"/>
    <n v="99.89"/>
    <n v="48"/>
    <n v="4794.72"/>
    <n v="65700.41"/>
    <d v="2023-01-17T00:00:00"/>
  </r>
  <r>
    <x v="51"/>
    <s v="001 L00231252 01/16/2023 5003554346 FID Detector W/ Igni G4591-61822 K0 0.00 46.54 1.000 EA 46.54"/>
    <n v="1"/>
    <s v="L00231252 "/>
    <d v="2023-01-16T00:00:00"/>
    <n v="5003554346"/>
    <s v="G4591-61822"/>
    <n v="46.54"/>
    <n v="1"/>
    <n v="46.54"/>
    <n v="46.54"/>
    <d v="2023-01-17T00:00:00"/>
  </r>
  <r>
    <x v="52"/>
    <s v="001 L00231252 01/16/2023 5003557853 FID Detector W/ Igni G4591-61822 K0 0.00 46.54 1.000 EA 46.54"/>
    <n v="1"/>
    <s v="L00231252 "/>
    <d v="2023-01-16T00:00:00"/>
    <n v="5003557853"/>
    <s v="G4591-61822"/>
    <n v="46.54"/>
    <n v="1"/>
    <n v="46.54"/>
    <n v="46.54"/>
    <d v="2023-01-17T00:00:00"/>
  </r>
  <r>
    <x v="53"/>
    <s v="001 L00231252 01/16/2023 5003560802 FID Detector W/ Igni G4591-61822 K0 0.00 46.54 1.000 EA 46.54"/>
    <n v="1"/>
    <s v="L00231252 "/>
    <d v="2023-01-16T00:00:00"/>
    <n v="5003560802"/>
    <s v="G4591-61822"/>
    <n v="46.54"/>
    <n v="1"/>
    <n v="46.54"/>
    <n v="46.54"/>
    <d v="2023-01-17T00:00:00"/>
  </r>
  <r>
    <x v="54"/>
    <s v="001 L00230890 01/16/2023 5003584040 FID Detector W/ Igni G4591-61822 K0 0.00 46.54 9.000 EA 418.86"/>
    <n v="1"/>
    <s v="L00230890 "/>
    <d v="2023-01-16T00:00:00"/>
    <n v="5003584040"/>
    <s v="G4591-61822"/>
    <n v="46.54"/>
    <n v="9"/>
    <n v="418.86"/>
    <n v="418.86"/>
    <d v="2023-01-17T00:00:00"/>
  </r>
  <r>
    <x v="55"/>
    <s v="001 L00230890 01/16/2023 5003585682 FID Detector W/ Igni G4591-61822 K0 0.00 46.54 1.000 EA 46.54"/>
    <n v="1"/>
    <s v="L00230890 "/>
    <d v="2023-01-16T00:00:00"/>
    <n v="5003585682"/>
    <s v="G4591-61822"/>
    <n v="46.54"/>
    <n v="1"/>
    <n v="46.54"/>
    <n v="46.54"/>
    <d v="2023-01-17T00:00:00"/>
  </r>
  <r>
    <x v="56"/>
    <s v="001 L00230890 01/16/2023 5003592236 FID Detector W/ Igni G4591-61822 K0 0.00 46.54 2.000 EA 93.08"/>
    <n v="1"/>
    <s v="L00230890 "/>
    <d v="2023-01-16T00:00:00"/>
    <n v="5003592236"/>
    <s v="G4591-61822"/>
    <n v="46.54"/>
    <n v="2"/>
    <n v="93.08"/>
    <n v="93.08"/>
    <d v="2023-01-17T00:00:00"/>
  </r>
  <r>
    <x v="57"/>
    <s v="001 L00230890 01/16/2023 5003593662 FID Detector W/ Igni G4591-61822 K0 0.00 46.54 1.000 EA 46.54"/>
    <n v="1"/>
    <s v="L00230890 "/>
    <d v="2023-01-16T00:00:00"/>
    <n v="5003593662"/>
    <s v="G4591-61822"/>
    <n v="46.54"/>
    <n v="1"/>
    <n v="46.54"/>
    <n v="46.54"/>
    <d v="2023-01-17T00:00:00"/>
  </r>
  <r>
    <x v="58"/>
    <s v="001 L00230890 01/16/2023 5003598213 FID Detector W/ Igni G4591-61822 K0 0.00 46.54 1.000 EA 46.54"/>
    <n v="1"/>
    <s v="L00230890 "/>
    <d v="2023-01-16T00:00:00"/>
    <n v="5003598213"/>
    <s v="G4591-61822"/>
    <n v="46.54"/>
    <n v="1"/>
    <n v="46.54"/>
    <n v="46.54"/>
    <d v="2023-01-17T00:00:00"/>
  </r>
  <r>
    <x v="59"/>
    <s v="001 L00230890 01/16/2023 5003605239 FID Detector W/ Igni G4591-61822 K0 0.00 46.54 1.000 EA 46.54"/>
    <n v="1"/>
    <s v="L00230890 "/>
    <d v="2023-01-16T00:00:00"/>
    <n v="5003605239"/>
    <s v="G4591-61822"/>
    <n v="46.54"/>
    <n v="1"/>
    <n v="46.54"/>
    <n v="46.54"/>
    <d v="2023-01-17T00:00:00"/>
  </r>
  <r>
    <x v="60"/>
    <s v="001 L00231252 01/16/2023 5003607373 Control PCA G4511-61821 K0 0.00 241.51 1.000 EA 241.51"/>
    <n v="1"/>
    <s v="L00231252 "/>
    <d v="2023-01-16T00:00:00"/>
    <n v="5003607373"/>
    <s v="G4511-61821"/>
    <n v="241.51"/>
    <n v="1"/>
    <n v="241.51"/>
    <n v="4350.33"/>
    <d v="2023-01-17T00:00:00"/>
  </r>
  <r>
    <x v="60"/>
    <s v="002 L00230890 01/16/2023 5003607373 FID Detector W/ Igni G4591-61822 K0 0.00 46.54 7.000 EA 325.78"/>
    <n v="2"/>
    <s v="L00230890 "/>
    <d v="2023-01-16T00:00:00"/>
    <n v="5003607373"/>
    <s v="G4591-61822"/>
    <n v="46.54"/>
    <n v="7"/>
    <n v="325.77999999999997"/>
    <n v="4350.33"/>
    <d v="2023-01-17T00:00:00"/>
  </r>
  <r>
    <x v="60"/>
    <s v="003 L00231252 01/16/2023 5003607373 7697A Logic Board Su G4556-67101 K0 0.00 118.22 32.000 EA 3,783.04"/>
    <n v="3"/>
    <s v="L00231252 "/>
    <d v="2023-01-16T00:00:00"/>
    <n v="5003607373"/>
    <s v="G4556-67101"/>
    <n v="118.22"/>
    <n v="32"/>
    <n v="3783.04"/>
    <n v="4350.33"/>
    <d v="2023-01-17T00:00:00"/>
  </r>
  <r>
    <x v="61"/>
    <s v="001 SBI5116138259 01/17/2023 2351610624 G1969-61008 PCA NRE I1 0.00 1,265.00 1.000 EA 1,265.00"/>
    <n v="1"/>
    <s v="SBI5116138259 "/>
    <d v="2023-01-17T00:00:00"/>
    <n v="2351610624"/>
    <s v="G1969-61008"/>
    <n v="1265"/>
    <n v="1"/>
    <n v="1265"/>
    <n v="1815.75"/>
    <d v="2023-01-17T00:00:00"/>
  </r>
  <r>
    <x v="61"/>
    <s v="002 SBI5116138259 01/17/2023 2351610624 G1969-61008 PCB NRE I1 0.00 350.00 1.000 EA 350.00"/>
    <n v="2"/>
    <s v="SBI5116138259 "/>
    <d v="2023-01-17T00:00:00"/>
    <n v="2351610624"/>
    <s v="G1969-61008"/>
    <n v="350"/>
    <n v="1"/>
    <n v="350"/>
    <n v="1815.75"/>
    <d v="2023-01-17T00:00:00"/>
  </r>
  <r>
    <x v="61"/>
    <s v="003 SBI5116138259 01/17/2023 2351610624 G1969-61008 PPV I1 0.00 200.75 1.000 EA 200.75"/>
    <n v="3"/>
    <s v="SBI5116138259 "/>
    <d v="2023-01-17T00:00:00"/>
    <n v="2351610624"/>
    <s v="G1969-61008"/>
    <n v="200.75"/>
    <n v="1"/>
    <n v="200.75"/>
    <n v="1815.75"/>
    <d v="2023-01-17T00:00:00"/>
  </r>
  <r>
    <x v="62"/>
    <s v="001 L00231455 01/17/2023 2351575136 8890 PCA ECD Electro G3450-61883 I1 0.00 72.19 14.000 EA 1,010.66"/>
    <n v="1"/>
    <s v="L00231455 "/>
    <d v="2023-01-17T00:00:00"/>
    <n v="2351575136"/>
    <s v="G3450-61883"/>
    <n v="72.19"/>
    <n v="14"/>
    <n v="1010.66"/>
    <n v="19730.79"/>
    <d v="2023-01-17T00:00:00"/>
  </r>
  <r>
    <x v="62"/>
    <s v="002 L00231455 01/17/2023 2351647528 XCD Controller PCA A G3488-61820 I1 0.00 193.08 2.000 EA 386.16"/>
    <n v="2"/>
    <s v="L00231455 "/>
    <d v="2023-01-17T00:00:00"/>
    <n v="2351647528"/>
    <s v="G3488-61820"/>
    <n v="193.08"/>
    <n v="2"/>
    <n v="386.16"/>
    <n v="19730.79"/>
    <d v="2023-01-17T00:00:00"/>
  </r>
  <r>
    <x v="62"/>
    <s v="003 L00231510 01/17/2023 2351649162 PCA, Lower Separatio G4580-61851 I1 0.00 15.69 9.000 EA 141.21"/>
    <n v="3"/>
    <s v="L00231510 "/>
    <d v="2023-01-17T00:00:00"/>
    <n v="2351649162"/>
    <s v="G4580-61851"/>
    <n v="15.690000000000001"/>
    <n v="9"/>
    <n v="141.21"/>
    <n v="19730.79"/>
    <d v="2023-01-17T00:00:00"/>
  </r>
  <r>
    <x v="62"/>
    <s v="004 L00231510 01/17/2023 2351649162 XCD Electrometer Ass G3488-61830 I1 0.00 39.40 20.000 EA 788.00"/>
    <n v="4"/>
    <s v="L00231510 "/>
    <d v="2023-01-17T00:00:00"/>
    <n v="2351649162"/>
    <s v="G3488-61830"/>
    <n v="39.4"/>
    <n v="20"/>
    <n v="788"/>
    <n v="19730.79"/>
    <d v="2023-01-17T00:00:00"/>
  </r>
  <r>
    <x v="62"/>
    <s v="005 L00231455 01/17/2023 2351663395 XCD Controller PCA A G3488-61820 I1 0.00 193.08 1.000 EA 193.08"/>
    <n v="5"/>
    <s v="L00231455 "/>
    <d v="2023-01-17T00:00:00"/>
    <n v="2351663395"/>
    <s v="G3488-61820"/>
    <n v="193.08"/>
    <n v="1"/>
    <n v="193.08"/>
    <n v="19730.79"/>
    <d v="2023-01-17T00:00:00"/>
  </r>
  <r>
    <x v="62"/>
    <s v="006 L00231314 01/17/2023 2351663940 Detector Feedthru PC G7000-61013 I1 0.00 9.78 144.000 EA 1,408.32"/>
    <n v="6"/>
    <s v="L00231314 "/>
    <d v="2023-01-17T00:00:00"/>
    <n v="2351663940"/>
    <s v="G7000-61013"/>
    <n v="9.7799999999999994"/>
    <n v="144"/>
    <n v="1408.32"/>
    <n v="19730.79"/>
    <d v="2023-01-17T00:00:00"/>
  </r>
  <r>
    <x v="62"/>
    <s v="007 L00231314 01/17/2023 2351664191 Switch PCA G7000-61110 I1 0.00 11.66 96.000 EA 1,119.36"/>
    <n v="7"/>
    <s v="L00231314 "/>
    <d v="2023-01-17T00:00:00"/>
    <n v="2351664191"/>
    <s v="G7000-61110"/>
    <n v="11.659999999999998"/>
    <n v="96"/>
    <n v="1119.3599999999999"/>
    <n v="19730.79"/>
    <d v="2023-01-17T00:00:00"/>
  </r>
  <r>
    <x v="62"/>
    <s v="008 L00230888 01/17/2023 2351665188 Analog Input PCA G3456-61810 I1 0.00 47.92 3.000 EA 143.76"/>
    <n v="8"/>
    <s v="L00230888 "/>
    <d v="2023-01-17T00:00:00"/>
    <n v="2351665188"/>
    <s v="G3456-61810"/>
    <n v="47.919999999999995"/>
    <n v="3"/>
    <n v="143.76"/>
    <n v="19730.79"/>
    <d v="2023-01-17T00:00:00"/>
  </r>
  <r>
    <x v="62"/>
    <s v="009 L00231548 01/17/2023 2351669094 Key Board Assembly G3430-60555 I1 0.00 144.79 6.000 EA 868.74"/>
    <n v="9"/>
    <s v="L00231548 "/>
    <d v="2023-01-17T00:00:00"/>
    <n v="2351669094"/>
    <s v="G3430-60555"/>
    <n v="144.79"/>
    <n v="6"/>
    <n v="868.74"/>
    <n v="19730.79"/>
    <d v="2023-01-17T00:00:00"/>
  </r>
  <r>
    <x v="62"/>
    <s v="010 L00231548 01/17/2023 2351669094 Key Board Assembly G3430-60555 I1 0.00 144.79 1.000 EA 144.79"/>
    <n v="10"/>
    <s v="L00231548 "/>
    <d v="2023-01-17T00:00:00"/>
    <n v="2351669094"/>
    <s v="G3430-60555"/>
    <n v="144.79"/>
    <n v="1"/>
    <n v="144.79"/>
    <n v="19730.79"/>
    <d v="2023-01-17T00:00:00"/>
  </r>
  <r>
    <x v="62"/>
    <s v="011 L00230888 01/17/2023 2351671007 FID Electrometer PCA G3431-61815 I1 0.00 70.99 16.000 EA 1,135.84"/>
    <n v="11"/>
    <s v="L00230888 "/>
    <d v="2023-01-17T00:00:00"/>
    <n v="2351671007"/>
    <s v="G3431-61815"/>
    <n v="70.989999999999995"/>
    <n v="16"/>
    <n v="1135.8399999999999"/>
    <n v="19730.79"/>
    <d v="2023-01-17T00:00:00"/>
  </r>
  <r>
    <x v="62"/>
    <s v="012 L00231510 01/17/2023 2351671791 Tray Interface PCA G4511-61840 I1 0.00 5.68 30.000 EA 170.40"/>
    <n v="12"/>
    <s v="L00231510 "/>
    <d v="2023-01-17T00:00:00"/>
    <n v="2351671791"/>
    <s v="G4511-61840"/>
    <n v="5.6800000000000006"/>
    <n v="30"/>
    <n v="170.4"/>
    <n v="19730.79"/>
    <d v="2023-01-17T00:00:00"/>
  </r>
  <r>
    <x v="62"/>
    <s v="013 L00231510 01/17/2023 2351671791 PCA, NPD Interface B G4594-61820 I1 0.00 100.53 20.000 EA 2,010.60"/>
    <n v="13"/>
    <s v="L00231510 "/>
    <d v="2023-01-17T00:00:00"/>
    <n v="2351671791"/>
    <s v="G4594-61820"/>
    <n v="100.53"/>
    <n v="20"/>
    <n v="2010.6"/>
    <n v="19730.79"/>
    <d v="2023-01-17T00:00:00"/>
  </r>
  <r>
    <x v="62"/>
    <s v="014 L00231798 01/17/2023 2351671793 FID Signal Board G1531-60010 I1 0.00 144.56 30.000 EA 4,336.80"/>
    <n v="14"/>
    <s v="L00231798 "/>
    <d v="2023-01-17T00:00:00"/>
    <n v="2351671793"/>
    <s v="G1531-60010"/>
    <n v="144.56"/>
    <n v="30"/>
    <n v="4336.8"/>
    <n v="19730.79"/>
    <d v="2023-01-17T00:00:00"/>
  </r>
  <r>
    <x v="62"/>
    <s v="015 L00231455 01/17/2023 2351671793 XCD Controller PCA A G3488-61820 I1 0.00 193.08 1.000 EA 193.08"/>
    <n v="15"/>
    <s v="L00231455 "/>
    <d v="2023-01-17T00:00:00"/>
    <n v="2351671793"/>
    <s v="G3488-61820"/>
    <n v="193.08"/>
    <n v="1"/>
    <n v="193.08"/>
    <n v="19730.79"/>
    <d v="2023-01-17T00:00:00"/>
  </r>
  <r>
    <x v="62"/>
    <s v="016 L00231455 01/17/2023 2351671793 Analog &amp; Power PCA,8 G3450-61811 I1 0.00 195.08 10.000 EA 1,950.80"/>
    <n v="16"/>
    <s v="L00231455 "/>
    <d v="2023-01-17T00:00:00"/>
    <n v="2351671793"/>
    <s v="G3450-61811"/>
    <n v="195.07999999999998"/>
    <n v="10"/>
    <n v="1950.8"/>
    <n v="19730.79"/>
    <d v="2023-01-17T00:00:00"/>
  </r>
  <r>
    <x v="62"/>
    <s v="017 L00230888 01/17/2023 2351671793 7890B Logic Board Wi G3430-61110 I1 0.00 102.07 26.000 EA 2,653.82"/>
    <n v="17"/>
    <s v="L00230888 "/>
    <d v="2023-01-17T00:00:00"/>
    <n v="2351671793"/>
    <s v="G3430-61110"/>
    <n v="102.07000000000001"/>
    <n v="26"/>
    <n v="2653.82"/>
    <n v="19730.79"/>
    <d v="2023-01-17T00:00:00"/>
  </r>
  <r>
    <x v="62"/>
    <s v="018 L00231455 01/17/2023 2351671793 PCA, Carrier Board G4580-61811 I1 0.00 280.19 3.000 EA 840.57"/>
    <n v="18"/>
    <s v="L00231455 "/>
    <d v="2023-01-17T00:00:00"/>
    <n v="2351671793"/>
    <s v="G4580-61811"/>
    <n v="280.19"/>
    <n v="3"/>
    <n v="840.57"/>
    <n v="19730.79"/>
    <d v="2023-01-17T00:00:00"/>
  </r>
  <r>
    <x v="62"/>
    <s v="019 L00231510 01/17/2023 2351677263 Short Y Interface PC G4511-61848 I1 0.00 11.74 20.000 EA 234.80"/>
    <n v="19"/>
    <s v="L00231510 "/>
    <d v="2023-01-17T00:00:00"/>
    <n v="2351677263"/>
    <s v="G4511-61848"/>
    <n v="11.74"/>
    <n v="20"/>
    <n v="234.8"/>
    <n v="19730.79"/>
    <d v="2023-01-17T00:00:00"/>
  </r>
  <r>
    <x v="63"/>
    <s v="001 1221572871490003 01/17/2023 2351632982 HV-A PCA Tested (Pb- G8400-65818 I1 0.00 513.24 1.000 EA 513.24"/>
    <n v="1"/>
    <s v="1221572871490003 "/>
    <d v="2023-01-17T00:00:00"/>
    <n v="2351632982"/>
    <s v="PCA"/>
    <n v="513.24"/>
    <n v="1"/>
    <n v="513.24"/>
    <n v="9266.7900000000009"/>
    <d v="2023-01-17T00:00:00"/>
  </r>
  <r>
    <x v="63"/>
    <s v="002 L00231268 01/17/2023 2351667820 G4514A Tray Refrofit G4514-68000 I1 0.00 50.36 3.000 EA 151.08"/>
    <n v="2"/>
    <s v="L00231268 "/>
    <d v="2023-01-17T00:00:00"/>
    <n v="2351667820"/>
    <s v="G4514-68000"/>
    <n v="50.360000000000007"/>
    <n v="3"/>
    <n v="151.08000000000001"/>
    <n v="9266.7900000000009"/>
    <d v="2023-01-17T00:00:00"/>
  </r>
  <r>
    <x v="63"/>
    <s v="003 L00230888 01/17/2023 2351671008 7820 Lead Free Logic G4350-61820 I1 0.00 99.98 6.000 EA 599.88"/>
    <n v="3"/>
    <s v="L00230888 "/>
    <d v="2023-01-17T00:00:00"/>
    <n v="2351671008"/>
    <s v="G4350-61820"/>
    <n v="99.98"/>
    <n v="6"/>
    <n v="599.88"/>
    <n v="9266.7900000000009"/>
    <d v="2023-01-17T00:00:00"/>
  </r>
  <r>
    <x v="63"/>
    <s v="004 L00230888 01/17/2023 2351671796 FID Detector W/ Igni G4591-61822 I1 0.00 46.54 96.000 EA 4,467.84"/>
    <n v="4"/>
    <s v="L00230888 "/>
    <d v="2023-01-17T00:00:00"/>
    <n v="2351671796"/>
    <s v="G4591-61822"/>
    <n v="46.54"/>
    <n v="96"/>
    <n v="4467.84"/>
    <n v="9266.7900000000009"/>
    <d v="2023-01-17T00:00:00"/>
  </r>
  <r>
    <x v="63"/>
    <s v="005 L00230888 01/17/2023 2351671796 FID Detector W/ Igni G4591-61822 I1 0.00 46.54 17.000 EA 791.18"/>
    <n v="5"/>
    <s v="L00230888 "/>
    <d v="2023-01-17T00:00:00"/>
    <n v="2351671796"/>
    <s v="G4591-61822"/>
    <n v="46.54"/>
    <n v="17"/>
    <n v="791.18"/>
    <n v="9266.7900000000009"/>
    <d v="2023-01-17T00:00:00"/>
  </r>
  <r>
    <x v="63"/>
    <s v="006 1241877282090003 01/17/2023 2351672618 Triaxial Assembly G4556-60203 I1 0.00 8.91 10.000 EA 89.10"/>
    <n v="6"/>
    <s v="1241877282090003 "/>
    <d v="2023-01-17T00:00:00"/>
    <n v="2351672618"/>
    <s v="G4556-60203"/>
    <n v="8.91"/>
    <n v="10"/>
    <n v="89.1"/>
    <n v="9266.7900000000009"/>
    <d v="2023-01-17T00:00:00"/>
  </r>
  <r>
    <x v="63"/>
    <s v="007 L00231420 01/17/2023 2351678640 Gantry Module Assemb G4556-67911 I1 0.00 204.19 13.000 EA 2,654.47"/>
    <n v="7"/>
    <s v="L00231420 "/>
    <d v="2023-01-17T00:00:00"/>
    <n v="2351678640"/>
    <s v="G4556-67911"/>
    <n v="204.19"/>
    <n v="13"/>
    <n v="2654.47"/>
    <n v="9266.7900000000009"/>
    <d v="2023-01-17T00:00:00"/>
  </r>
  <r>
    <x v="64"/>
    <s v="001 L00231643 01/17/2023 5003603516 111 Vial Model Tray G4556-64014 C5 0.00 1,043.19 16.000 EA 16,691.04"/>
    <n v="1"/>
    <s v="L00231643 "/>
    <d v="2023-01-17T00:00:00"/>
    <n v="5003603516"/>
    <s v="G4556-64014"/>
    <n v="1043.19"/>
    <n v="16"/>
    <n v="16691.04"/>
    <n v="216244.32"/>
    <d v="2023-01-17T00:00:00"/>
  </r>
  <r>
    <x v="64"/>
    <s v="002 L00231368 01/17/2023 5003606166 Mainframe Assembly i G3450-60588 C5 0.00 1,388.88 76.000 EA 105,554.88"/>
    <n v="2"/>
    <s v="L00231368 "/>
    <d v="2023-01-17T00:00:00"/>
    <n v="5003606166"/>
    <s v="G3450-60588"/>
    <n v="1388.88"/>
    <n v="76"/>
    <n v="105554.88"/>
    <n v="216244.32"/>
    <d v="2023-01-17T00:00:00"/>
  </r>
  <r>
    <x v="64"/>
    <s v="003 L00231368 01/17/2023 5003606166 Nexus E MF Assy 220V G3450-60956 C5 0.00 1,195.80 32.000 EA 38,265.60"/>
    <n v="3"/>
    <s v="L00231368 "/>
    <d v="2023-01-17T00:00:00"/>
    <n v="5003606166"/>
    <s v="G3450-60956"/>
    <n v="1195.8"/>
    <n v="32"/>
    <n v="38265.599999999999"/>
    <n v="216244.32"/>
    <d v="2023-01-17T00:00:00"/>
  </r>
  <r>
    <x v="64"/>
    <s v="004 L00231643 01/17/2023 5003631183 7650A Injector G4567-64000 C5 0.00 1,195.05 24.000 EA 28,681.20"/>
    <n v="4"/>
    <s v="L00231643 "/>
    <d v="2023-01-17T00:00:00"/>
    <n v="5003631183"/>
    <s v="G4567-64000"/>
    <n v="1195.05"/>
    <n v="24"/>
    <n v="28681.200000000001"/>
    <n v="216244.32"/>
    <d v="2023-01-17T00:00:00"/>
  </r>
  <r>
    <x v="64"/>
    <s v="005 L00231643 01/17/2023 5003644767 G4514A Tray (COO-CN) G4514-64000 C5 0.00 1,127.15 24.000 EA 27,051.60"/>
    <n v="5"/>
    <s v="L00231643 "/>
    <d v="2023-01-17T00:00:00"/>
    <n v="5003644767"/>
    <s v="G4514-64000"/>
    <n v="1127.1499999999999"/>
    <n v="24"/>
    <n v="27051.599999999999"/>
    <n v="216244.32"/>
    <d v="2023-01-17T00:00:00"/>
  </r>
  <r>
    <x v="65"/>
    <s v="001 5003619269 01/11/2023 5003619269 Freight cost for Phi C5 0.00 6,829.92 1.000 EA 6,829.92"/>
    <n v="1"/>
    <s v="5003619269 "/>
    <d v="2023-01-11T00:00:00"/>
    <n v="5003619269"/>
    <s v="Phi"/>
    <n v="6829.92"/>
    <n v="1"/>
    <n v="6829.92"/>
    <n v="6829.92"/>
    <d v="2023-01-17T00:00:00"/>
  </r>
  <r>
    <x v="66"/>
    <s v="001 5003459800 01/11/2023 5003459800 AGIH-5181-3354 C5 0.00 21.08 7.000 EA 147.56"/>
    <n v="1"/>
    <s v="5003459800 "/>
    <d v="2023-01-11T00:00:00"/>
    <n v="5003459800"/>
    <s v="AGIH-5181-3354"/>
    <n v="21.080000000000002"/>
    <n v="7"/>
    <n v="147.56"/>
    <n v="251.48"/>
    <d v="2023-01-17T00:00:00"/>
  </r>
  <r>
    <x v="66"/>
    <s v="002 5003459800 01/11/2023 5003459800 AGIH-5182-0717 C5 0.00 5.76 15.000 EA 86.40"/>
    <n v="2"/>
    <s v="5003459800 "/>
    <d v="2023-01-11T00:00:00"/>
    <n v="5003459800"/>
    <s v="AGIH-5182-0717"/>
    <n v="5.7600000000000007"/>
    <n v="15"/>
    <n v="86.4"/>
    <n v="251.48"/>
    <d v="2023-01-17T00:00:00"/>
  </r>
  <r>
    <x v="66"/>
    <s v="003 5003459800 01/11/2023 5003459800 AGIH-5182-0714 C5 0.00 5.84 3.000 EA 17.52"/>
    <n v="3"/>
    <s v="5003459800 "/>
    <d v="2023-01-11T00:00:00"/>
    <n v="5003459800"/>
    <s v="AGIH-5182-0714"/>
    <n v="5.84"/>
    <n v="3"/>
    <n v="17.52"/>
    <n v="251.48"/>
    <d v="2023-01-17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">
  <r>
    <s v="001 L00230964 01/16/2023 5003527928 Diffusion caps for 4 07673-40180 K0 0.00 6.79 200.000 EA 1,358.00"/>
    <x v="0"/>
    <x v="0"/>
    <d v="2023-01-16T00:00:00"/>
    <x v="0"/>
    <n v="1358"/>
    <n v="200"/>
    <n v="6.79"/>
    <m/>
    <s v="07673-40180"/>
  </r>
  <r>
    <s v="001 L00230964 01/16/2023 5003564185 Z-FLEX Cable Assy G4514-60612 K0 0.00 8.46 2.000 EA 16.92"/>
    <x v="0"/>
    <x v="1"/>
    <d v="2023-01-16T00:00:00"/>
    <x v="1"/>
    <n v="16.920000000000002"/>
    <n v="2"/>
    <n v="8.4600000000000009"/>
    <m/>
    <s v="Z-FLEX"/>
  </r>
  <r>
    <s v="001 L00231412 01/16/2023 5003598214 RP Syringe Carriage G4513-67970 K0 0.00 139.67 60.000 EA 8,380.20"/>
    <x v="1"/>
    <x v="2"/>
    <d v="2023-01-16T00:00:00"/>
    <x v="2"/>
    <n v="8380.2000000000007"/>
    <n v="60"/>
    <n v="139.67000000000002"/>
    <m/>
    <s v="G4513-67970"/>
  </r>
  <r>
    <s v="001 L00231412 01/16/2023 5003603610 X-axis Drive Module G4514-67920 K0 0.00 133.69 5.000 EA 668.45"/>
    <x v="1"/>
    <x v="3"/>
    <d v="2023-01-16T00:00:00"/>
    <x v="3"/>
    <n v="668.45"/>
    <n v="5"/>
    <n v="133.69"/>
    <m/>
    <s v="X-axis"/>
  </r>
  <r>
    <s v="001 L00230964 01/16/2023 5003636516 MAIN CBL ASSY G2613-60590 K0 0.00 18.41 5.000 EA 92.05"/>
    <x v="0"/>
    <x v="4"/>
    <d v="2023-01-16T00:00:00"/>
    <x v="4"/>
    <n v="92.05"/>
    <n v="5"/>
    <n v="18.41"/>
    <m/>
    <s v="G2613-60590"/>
  </r>
  <r>
    <s v="001 L00230885 01/18/2023 5003450192 Analog &amp; Power PCA,8 G3450-61811 X0 0.00 195.08 5.000 EA 975.40"/>
    <x v="2"/>
    <x v="5"/>
    <d v="2023-01-18T00:00:00"/>
    <x v="5"/>
    <n v="975.4"/>
    <n v="5"/>
    <n v="195.07999999999998"/>
    <m/>
    <s v="G3450-61811"/>
  </r>
  <r>
    <s v="001 L00230947 01/18/2023 5003497527 Wire-Guide, propylen G2613-40140 X0 0.00 9.85 4.000 EA 39.40"/>
    <x v="3"/>
    <x v="6"/>
    <d v="2023-01-18T00:00:00"/>
    <x v="6"/>
    <n v="39.4"/>
    <n v="4"/>
    <n v="9.85"/>
    <m/>
    <s v="Wire-Guide"/>
  </r>
  <r>
    <s v="001 L00230950 01/18/2023 5003520592 Door Assembly G4567-60410 X0 0.00 4.09 8.000 EA 32.72"/>
    <x v="4"/>
    <x v="7"/>
    <d v="2023-01-18T00:00:00"/>
    <x v="7"/>
    <n v="32.72"/>
    <n v="8"/>
    <n v="4.09"/>
    <m/>
    <s v="G4567-60410"/>
  </r>
  <r>
    <s v="001 L00230950 01/18/2023 5003556635 Needle support inser G4513-40529 X0 0.00 0.98 60.000 EA 58.80"/>
    <x v="4"/>
    <x v="8"/>
    <d v="2023-01-18T00:00:00"/>
    <x v="8"/>
    <n v="58.8"/>
    <n v="60"/>
    <n v="0.98"/>
    <m/>
    <s v="G4513-40529"/>
  </r>
  <r>
    <s v="001 L00230950 01/18/2023 5003567912 Door Assembly G4567-60410 X0 0.00 4.09 2.000 EA 8.18"/>
    <x v="4"/>
    <x v="9"/>
    <d v="2023-01-18T00:00:00"/>
    <x v="9"/>
    <n v="8.18"/>
    <n v="2"/>
    <n v="4.09"/>
    <m/>
    <s v="G4567-60410"/>
  </r>
  <r>
    <s v="002 L00230950 01/18/2023 5003567912 Syringe Drive Belt G4513-80522 X0 0.00 2.01 34.000 EA 68.34"/>
    <x v="4"/>
    <x v="9"/>
    <d v="2023-01-18T00:00:00"/>
    <x v="9"/>
    <n v="68.34"/>
    <n v="34"/>
    <n v="2.0100000000000002"/>
    <m/>
    <s v="G4513-80522"/>
  </r>
  <r>
    <s v="001 L00230950 01/18/2023 5003573839 Wire-Guide, propylen G2613-40140 X0 0.00 9.85 16.000 EA 157.60"/>
    <x v="4"/>
    <x v="10"/>
    <d v="2023-01-18T00:00:00"/>
    <x v="10"/>
    <n v="157.6"/>
    <n v="16"/>
    <n v="9.85"/>
    <m/>
    <s v="Wire-Guide"/>
  </r>
  <r>
    <s v="001 L00230950 01/18/2023 5003605724 Diffusion caps for 4 07673-40180 X0 0.00 6.79 400.000 EA 2,716.00"/>
    <x v="4"/>
    <x v="11"/>
    <d v="2023-01-18T00:00:00"/>
    <x v="11"/>
    <n v="2716"/>
    <n v="400"/>
    <n v="6.79"/>
    <m/>
    <s v="07673-40180"/>
  </r>
  <r>
    <s v="001 L00230950 01/18/2023 5003607728 MAIN CBL ASSY G2613-60590 X0 0.00 18.41 13.000 EA 239.33"/>
    <x v="4"/>
    <x v="12"/>
    <d v="2023-01-18T00:00:00"/>
    <x v="12"/>
    <n v="239.33"/>
    <n v="13"/>
    <n v="18.41"/>
    <m/>
    <s v="G2613-60590"/>
  </r>
  <r>
    <s v="001 L00230885 01/18/2023 5003613512 PCA-EPC 6890N G1575-60015 X0 0.00 124.81 4.000 EA 499.24"/>
    <x v="2"/>
    <x v="13"/>
    <d v="2023-01-18T00:00:00"/>
    <x v="13"/>
    <n v="499.24"/>
    <n v="4"/>
    <n v="124.81"/>
    <m/>
    <n v="6"/>
  </r>
  <r>
    <s v="001 L00230885 01/18/2023 5003620754 8890 Analog And Powe G3450-67006 X0 0.00 405.00 1.000 EA 405.00"/>
    <x v="2"/>
    <x v="14"/>
    <d v="2023-01-18T00:00:00"/>
    <x v="14"/>
    <n v="405"/>
    <n v="1"/>
    <n v="405"/>
    <m/>
    <s v="G3450-67006"/>
  </r>
  <r>
    <s v="001 L00230885 01/18/2023 5003621815 7820 FID Electromete G4331-61815 X0 0.00 109.49 14.000 EA 1,532.86"/>
    <x v="2"/>
    <x v="15"/>
    <d v="2023-01-18T00:00:00"/>
    <x v="15"/>
    <n v="1532.86"/>
    <n v="14"/>
    <n v="109.49"/>
    <m/>
    <s v="G4331-61815"/>
  </r>
  <r>
    <s v="001 L00230885 01/18/2023 5003623538 Key Board Assembly G3430-60555 X0 0.00 146.41 12.000 EA 1,756.92"/>
    <x v="2"/>
    <x v="16"/>
    <d v="2023-01-18T00:00:00"/>
    <x v="16"/>
    <n v="1756.92"/>
    <n v="12"/>
    <n v="146.41"/>
    <m/>
    <s v="G3430-60555"/>
  </r>
  <r>
    <s v="001 L00231627 01/18/2023 5003507920 Mainframe Assy for 7 G8420-60350 K0 0.00 11,316.49 8.000 EA 90,531.92"/>
    <x v="5"/>
    <x v="17"/>
    <d v="2023-01-18T00:00:00"/>
    <x v="17"/>
    <n v="90531.92"/>
    <n v="8"/>
    <n v="11316.49"/>
    <m/>
    <s v="G8420-60350"/>
  </r>
  <r>
    <s v="001 L00231627 01/18/2023 5003507939 Mainframe Assy G8400-60300 K0 0.00 11,316.49 2.000 EA 22,632.98"/>
    <x v="5"/>
    <x v="18"/>
    <d v="2023-01-18T00:00:00"/>
    <x v="18"/>
    <n v="22632.98"/>
    <n v="2"/>
    <n v="11316.49"/>
    <m/>
    <s v="G8400-60300"/>
  </r>
  <r>
    <s v="001 L00231772 01/18/2023 5003611200 RF generator G3280-60360 K0 0.00 2,551.33 10.000 EA 25,513.30"/>
    <x v="6"/>
    <x v="19"/>
    <d v="2023-01-18T00:00:00"/>
    <x v="19"/>
    <n v="25513.3"/>
    <n v="10"/>
    <n v="2551.33"/>
    <m/>
    <s v="G3280-60360"/>
  </r>
  <r>
    <s v="001 L00230953 01/17/2023 5003614551 Argon flow controlle G3280-67135 K0 0.00 569.52 40.000 EA 22,780.80"/>
    <x v="7"/>
    <x v="20"/>
    <d v="2023-01-17T00:00:00"/>
    <x v="20"/>
    <n v="22780.799999999999"/>
    <n v="40"/>
    <n v="569.52"/>
    <m/>
    <s v="G3280-67135"/>
  </r>
  <r>
    <s v="001 L00230953 01/17/2023 5003614579 RF Generator (Pb Fre G8400-67033 K0 0.00 2,553.56 10.000 EA 25,535.60"/>
    <x v="7"/>
    <x v="21"/>
    <d v="2023-01-17T00:00:00"/>
    <x v="21"/>
    <n v="25535.599999999999"/>
    <n v="10"/>
    <n v="2553.56"/>
    <m/>
    <s v="G8400-67033"/>
  </r>
  <r>
    <s v="001 L00230806 01/17/2023 5003631185 7650A Injector G4567-64000 K0 0.00 1,195.05 12.000 EA 14,340.60"/>
    <x v="8"/>
    <x v="22"/>
    <d v="2023-01-17T00:00:00"/>
    <x v="22"/>
    <n v="14340.6"/>
    <n v="12"/>
    <n v="1195.05"/>
    <m/>
    <s v="G4567-64000"/>
  </r>
  <r>
    <s v="001 L00230963 01/17/2023 5003634382 RP Exterior Housing G4513-67573 K0 0.00 28.59 20.000 EA 571.80"/>
    <x v="9"/>
    <x v="23"/>
    <d v="2023-01-17T00:00:00"/>
    <x v="23"/>
    <n v="571.79999999999995"/>
    <n v="20"/>
    <n v="28.589999999999996"/>
    <m/>
    <s v="G4513-67573"/>
  </r>
  <r>
    <s v="001 L00230885 01/18/2023 5003553241 8890 Analog &amp; Power G3450-61812 X0 0.00 214.92 1.000 EA 214.92"/>
    <x v="2"/>
    <x v="24"/>
    <d v="2023-01-18T00:00:00"/>
    <x v="24"/>
    <n v="214.92"/>
    <n v="1"/>
    <n v="214.92"/>
    <m/>
    <s v="G3450-61812"/>
  </r>
  <r>
    <s v="001 L00230885 01/18/2023 5003590640 8890 Inlet TC Interf G3450-61870 X0 0.00 44.56 5.000 EA 222.80"/>
    <x v="2"/>
    <x v="25"/>
    <d v="2023-01-18T00:00:00"/>
    <x v="25"/>
    <n v="222.8"/>
    <n v="5"/>
    <n v="44.56"/>
    <m/>
    <s v="G3450-61870"/>
  </r>
  <r>
    <s v="001 L00231407 01/18/2023 5003623596 SHIP Kit - Rover G4514-60800 X0 0.00 106.01 3.000 EA 318.03"/>
    <x v="10"/>
    <x v="26"/>
    <d v="2023-01-18T00:00:00"/>
    <x v="26"/>
    <n v="318.02999999999997"/>
    <n v="3"/>
    <n v="106.00999999999999"/>
    <m/>
    <s v="Rove"/>
  </r>
  <r>
    <s v="001 L00230945 01/18/2023 2351641181 M3x10mm Nylon Screw G4514-20596 I1 0.00 0.19 30.000 EA 5.70"/>
    <x v="11"/>
    <x v="27"/>
    <d v="2023-01-18T00:00:00"/>
    <x v="27"/>
    <n v="5.7"/>
    <n v="30"/>
    <n v="0.19"/>
    <m/>
    <s v="G4514-20596"/>
  </r>
  <r>
    <s v="001 L00230945 01/18/2023 2351648296 PCB Spacer-Plastic S G2613-40200 I1 0.00 0.90 27.000 EA 24.30"/>
    <x v="11"/>
    <x v="28"/>
    <d v="2023-01-18T00:00:00"/>
    <x v="28"/>
    <n v="24.3"/>
    <n v="27"/>
    <n v="0.9"/>
    <m/>
    <s v="Spacer-Plast"/>
  </r>
  <r>
    <s v="001 L00231312 01/18/2023 2351667069 PCA, AC BD G7000-61017 I1 0.00 152.61 29.000 EA 4,425.69"/>
    <x v="12"/>
    <x v="29"/>
    <d v="2023-01-18T00:00:00"/>
    <x v="29"/>
    <n v="4425.6899999999996"/>
    <n v="29"/>
    <n v="152.60999999999999"/>
    <m/>
    <s v="G7000-61017"/>
  </r>
  <r>
    <s v="001 L00230945 01/18/2023 2351676430 ALS Main Cable Assem G4514-60610 I1 0.00 12.64 7.000 EA 88.48"/>
    <x v="11"/>
    <x v="30"/>
    <d v="2023-01-18T00:00:00"/>
    <x v="30"/>
    <n v="88.48"/>
    <n v="7"/>
    <n v="12.64"/>
    <m/>
    <s v="G4514-60610"/>
  </r>
  <r>
    <s v="001 L00231271 01/18/2023 2351632982 HV-A PCA Tested (Pb- G8400-65818 I1 0.00 513.24 1.000 EA 513.24"/>
    <x v="13"/>
    <x v="31"/>
    <d v="2023-01-18T00:00:00"/>
    <x v="31"/>
    <n v="513.24"/>
    <n v="1"/>
    <n v="513.24"/>
    <m/>
    <s v="PCA"/>
  </r>
  <r>
    <s v="001 L00231271 01/18/2023 2351636021 HV-A PCA Tested (Pb- G8400-65818 I1 0.00 513.24 3.000 EA 1,539.72"/>
    <x v="13"/>
    <x v="32"/>
    <d v="2023-01-18T00:00:00"/>
    <x v="32"/>
    <n v="1539.72"/>
    <n v="3"/>
    <n v="513.24"/>
    <m/>
    <s v="PCA"/>
  </r>
  <r>
    <s v="001 L00231271 01/18/2023 2351647844 HV-A PCA Tested (Pb- G8400-65818 I1 0.00 513.24 4.000 EA 2,052.96"/>
    <x v="13"/>
    <x v="33"/>
    <d v="2023-01-18T00:00:00"/>
    <x v="33"/>
    <n v="2052.96"/>
    <n v="4"/>
    <n v="513.24"/>
    <m/>
    <s v="PCA"/>
  </r>
  <r>
    <s v="001 L00231362 01/13/2023 5003606166 Mainframe Assembly i G3450-60588 C5 0.00 1,388.88 54.000 EA 74,999.52"/>
    <x v="14"/>
    <x v="34"/>
    <d v="2023-01-13T00:00:00"/>
    <x v="34"/>
    <n v="74999.520000000004"/>
    <n v="54"/>
    <n v="1388.88"/>
    <m/>
    <s v="G3450-60588"/>
  </r>
  <r>
    <s v="002 L00231168 01/13/2023 5003613845 8890 PCA NPD Electro G3450-61884 C5 0.00 45.48 7.000 EA 318.36"/>
    <x v="15"/>
    <x v="35"/>
    <d v="2023-01-13T00:00:00"/>
    <x v="34"/>
    <n v="318.36"/>
    <n v="7"/>
    <n v="45.480000000000004"/>
    <m/>
    <s v="G3450-61884"/>
  </r>
  <r>
    <s v="003 L00231358 01/13/2023 5003618574 OVENUNIT HEATED MICR CP742834 C5 0.00 188.74 157.000 EA 29,632.18"/>
    <x v="16"/>
    <x v="36"/>
    <d v="2023-01-13T00:00:00"/>
    <x v="34"/>
    <n v="29632.18"/>
    <n v="157"/>
    <n v="188.74"/>
    <m/>
    <s v="CP742834"/>
  </r>
  <r>
    <s v="004 L00231359 01/13/2023 5003618574 Micro GC Main Board G3581-65000 C5 0.00 204.53 60.000 EA 12,271.80"/>
    <x v="17"/>
    <x v="36"/>
    <d v="2023-01-13T00:00:00"/>
    <x v="34"/>
    <n v="12271.8"/>
    <n v="60"/>
    <n v="204.53"/>
    <m/>
    <s v="G3581-65000"/>
  </r>
  <r>
    <s v="005 L00231359 01/13/2023 5003619201 PCA Channel TCD-Cont G3581-61011 C5 0.00 78.86 228.000 EA 17,980.08"/>
    <x v="17"/>
    <x v="37"/>
    <d v="2023-01-13T00:00:00"/>
    <x v="34"/>
    <n v="17980.080000000002"/>
    <n v="228"/>
    <n v="78.860000000000014"/>
    <m/>
    <s v="G3581-61011"/>
  </r>
  <r>
    <s v="006 L00231168 01/13/2023 5003620622 TCD Interface board G3432-61815 C5 0.00 56.18 3.000 EA 168.54"/>
    <x v="15"/>
    <x v="38"/>
    <d v="2023-01-13T00:00:00"/>
    <x v="34"/>
    <n v="168.54"/>
    <n v="3"/>
    <n v="56.18"/>
    <m/>
    <s v="G3432-61815"/>
  </r>
  <r>
    <s v="007 L00231168 01/13/2023 5003620622 Leadfree ECD Electro G3433-61810 C5 0.00 58.72 1.000 EA 58.72"/>
    <x v="15"/>
    <x v="38"/>
    <d v="2023-01-13T00:00:00"/>
    <x v="34"/>
    <n v="58.72"/>
    <n v="1"/>
    <n v="58.72"/>
    <m/>
    <s v="G3433-61810"/>
  </r>
  <r>
    <s v="008 L00231168 01/13/2023 5003620622 NPD Electrometer PCA G3434-61810 C5 0.00 50.47 2.000 EA 100.94"/>
    <x v="15"/>
    <x v="38"/>
    <d v="2023-01-13T00:00:00"/>
    <x v="34"/>
    <n v="100.94"/>
    <n v="2"/>
    <n v="50.47"/>
    <m/>
    <s v="G3434-61810"/>
  </r>
  <r>
    <s v="009 L00231168 01/13/2023 5003620622 8890A Programmed Pro G3450-61110 C5 0.00 169.24 2.000 EA 338.48"/>
    <x v="15"/>
    <x v="38"/>
    <d v="2023-01-13T00:00:00"/>
    <x v="34"/>
    <n v="338.48"/>
    <n v="2"/>
    <n v="169.24"/>
    <m/>
    <s v="G3450-61110"/>
  </r>
  <r>
    <s v="010 L00231168 01/13/2023 5003620622 8890 Analog &amp; Power G3450-61810 C5 0.00 207.56 2.000 EA 415.12"/>
    <x v="15"/>
    <x v="38"/>
    <d v="2023-01-13T00:00:00"/>
    <x v="34"/>
    <n v="415.12"/>
    <n v="2"/>
    <n v="207.56"/>
    <m/>
    <s v="G3450-61810"/>
  </r>
  <r>
    <s v="011 L00231168 01/13/2023 5003620622 8890 AC Board Assemb G3450-61820 C5 0.00 23.98 1.000 EA 23.98"/>
    <x v="15"/>
    <x v="38"/>
    <d v="2023-01-13T00:00:00"/>
    <x v="34"/>
    <n v="23.98"/>
    <n v="1"/>
    <n v="23.98"/>
    <m/>
    <s v="G3450-61820"/>
  </r>
  <r>
    <s v="012 L00231168 01/13/2023 5003620622 8890E Inlet EPC Boar G3450-61880 C5 0.00 43.98 1.000 EA 43.98"/>
    <x v="15"/>
    <x v="38"/>
    <d v="2023-01-13T00:00:00"/>
    <x v="34"/>
    <n v="43.98"/>
    <n v="1"/>
    <n v="43.98"/>
    <m/>
    <s v="G3450-61880"/>
  </r>
  <r>
    <s v="013 L00231168 01/13/2023 5003620622 PCA Pressure Sensor G3581-61010 C5 0.00 28.28 1.000 EA 28.28"/>
    <x v="15"/>
    <x v="38"/>
    <d v="2023-01-13T00:00:00"/>
    <x v="34"/>
    <n v="28.28"/>
    <n v="1"/>
    <n v="28.28"/>
    <m/>
    <s v="G3581-61010"/>
  </r>
  <r>
    <s v="014 L00231168 01/13/2023 5003620622 PCA Channel TCD-Cont G3581-61011 C5 0.00 78.45 2.000 EA 156.90"/>
    <x v="15"/>
    <x v="38"/>
    <d v="2023-01-13T00:00:00"/>
    <x v="34"/>
    <n v="156.9"/>
    <n v="2"/>
    <n v="78.45"/>
    <m/>
    <s v="G3581-61011"/>
  </r>
  <r>
    <s v="015 L00231168 01/13/2023 5003620622 Micro GC Main Board G3581-65000 C5 0.00 204.55 3.000 EA 613.65"/>
    <x v="15"/>
    <x v="38"/>
    <d v="2023-01-13T00:00:00"/>
    <x v="34"/>
    <n v="613.65"/>
    <n v="3"/>
    <n v="204.54999999999998"/>
    <m/>
    <s v="G3581-65000"/>
  </r>
  <r>
    <s v="016 L00231168 01/13/2023 5003620622 7820 FID Electromete G4331-61815 C5 0.00 93.40 1.000 EA 93.40"/>
    <x v="15"/>
    <x v="38"/>
    <d v="2023-01-13T00:00:00"/>
    <x v="34"/>
    <n v="93.4"/>
    <n v="1"/>
    <n v="93.4"/>
    <m/>
    <s v="G4331-61815"/>
  </r>
  <r>
    <s v="017 L00231168 01/13/2023 5003620622 Oven Interface PCA G4511-61811 C5 0.00 12.36 2.000 EA 24.72"/>
    <x v="15"/>
    <x v="38"/>
    <d v="2023-01-13T00:00:00"/>
    <x v="34"/>
    <n v="24.72"/>
    <n v="2"/>
    <n v="12.36"/>
    <m/>
    <s v="G4511-61811"/>
  </r>
  <r>
    <s v="018 L00231168 01/13/2023 5003620622 Tray Interface PCA G4511-61840 C5 0.00 5.48 1.000 EA 5.48"/>
    <x v="15"/>
    <x v="38"/>
    <d v="2023-01-13T00:00:00"/>
    <x v="34"/>
    <n v="5.48"/>
    <n v="1"/>
    <n v="5.48"/>
    <m/>
    <s v="G4511-61840"/>
  </r>
  <r>
    <s v="019 L00231168 01/13/2023 5003620622 Short Y Interface PC G4511-61848 C5 0.00 11.74 2.000 EA 23.48"/>
    <x v="15"/>
    <x v="38"/>
    <d v="2023-01-13T00:00:00"/>
    <x v="34"/>
    <n v="23.48"/>
    <n v="2"/>
    <n v="11.74"/>
    <m/>
    <s v="G4511-61848"/>
  </r>
  <r>
    <s v="020 L00231168 01/13/2023 5003620622 rDIB Drive Interface G4514-61812 C5 0.00 4.59 1.000 EA 4.59"/>
    <x v="15"/>
    <x v="38"/>
    <d v="2023-01-13T00:00:00"/>
    <x v="34"/>
    <n v="4.59"/>
    <n v="1"/>
    <n v="4.59"/>
    <m/>
    <s v="G4514-61812"/>
  </r>
  <r>
    <s v="021 L00231168 01/13/2023 5003620622 7697 Headspace Motor G4556-61820 C5 0.00 11.01 1.000 EA 11.01"/>
    <x v="15"/>
    <x v="38"/>
    <d v="2023-01-13T00:00:00"/>
    <x v="34"/>
    <n v="11.01"/>
    <n v="1"/>
    <n v="11.01"/>
    <m/>
    <s v="G4556-61820"/>
  </r>
  <r>
    <s v="022 L00231168 01/13/2023 5003620622 PCA, Carrier Board G4580-61811 C5 0.00 273.22 3.000 EA 819.66"/>
    <x v="15"/>
    <x v="38"/>
    <d v="2023-01-13T00:00:00"/>
    <x v="34"/>
    <n v="819.66"/>
    <n v="3"/>
    <n v="273.21999999999997"/>
    <m/>
    <s v="G4580-61811"/>
  </r>
  <r>
    <s v="023 L00231168 01/13/2023 5003620622 PCA, Inlet Pneumatic G4585-61810 C5 0.00 40.37 1.000 EA 40.37"/>
    <x v="15"/>
    <x v="38"/>
    <d v="2023-01-13T00:00:00"/>
    <x v="34"/>
    <n v="40.369999999999997"/>
    <n v="1"/>
    <n v="40.369999999999997"/>
    <m/>
    <s v="G4585-61810"/>
  </r>
  <r>
    <s v="024 L00231168 01/13/2023 5003620622 PCA, Detector Pneuma G4585-61820 C5 0.00 40.56 5.000 EA 202.80"/>
    <x v="15"/>
    <x v="38"/>
    <d v="2023-01-13T00:00:00"/>
    <x v="34"/>
    <n v="202.8"/>
    <n v="5"/>
    <n v="40.56"/>
    <m/>
    <s v="G4585-61820"/>
  </r>
  <r>
    <s v="025 L00231168 01/13/2023 5003620622 PCA, Inlet Pneumatic G4585-61810 C5 0.00 45.82 13.000 EA 595.66"/>
    <x v="15"/>
    <x v="38"/>
    <d v="2023-01-13T00:00:00"/>
    <x v="34"/>
    <n v="595.66"/>
    <n v="13"/>
    <n v="45.82"/>
    <m/>
    <s v="G4585-61810"/>
  </r>
  <r>
    <s v="001 L00230339 01/12/2023 5003391662 Encoder Interpolator M7300-61011 AU 0.00 64.91 30.000 EA 1,947.30 9027900000"/>
    <x v="18"/>
    <x v="39"/>
    <d v="2023-01-12T00:00:00"/>
    <x v="35"/>
    <n v="1947.3"/>
    <n v="30"/>
    <n v="64.91"/>
    <m/>
    <s v="M7300-61011"/>
  </r>
  <r>
    <s v="001 L00230946 01/13/2023 2351663396 7697A Tray Rack G4556-60019 I1 0.00 17.02 12.000 EA 204.24"/>
    <x v="19"/>
    <x v="40"/>
    <d v="2023-01-13T00:00:00"/>
    <x v="36"/>
    <n v="204.24"/>
    <n v="12"/>
    <n v="17.02"/>
    <m/>
    <s v="G4556-60019"/>
  </r>
  <r>
    <s v="002 L00231069 01/13/2023 2351668234 Mainboard G4226-65000 I1 0.00 260.35 10.000 EA 2,603.50"/>
    <x v="20"/>
    <x v="41"/>
    <d v="2023-01-13T00:00:00"/>
    <x v="36"/>
    <n v="2603.5"/>
    <n v="10"/>
    <n v="260.35000000000002"/>
    <m/>
    <s v="G4226-65000"/>
  </r>
  <r>
    <s v="003 L00230946 01/13/2023 2351675118 Tray Gripper Assembl G2614-60571 I1 0.00 30.25 10.000 EA 302.50"/>
    <x v="19"/>
    <x v="42"/>
    <d v="2023-01-13T00:00:00"/>
    <x v="36"/>
    <n v="302.5"/>
    <n v="10"/>
    <n v="30.25"/>
    <m/>
    <s v="G2614-60571"/>
  </r>
  <r>
    <s v="002 L00231187 01/16/2023 5003611213 Water manifold assy G8400-60345 K0 0.00 338.57 41.000 EA 13,881.37"/>
    <x v="21"/>
    <x v="43"/>
    <d v="2023-01-16T00:00:00"/>
    <x v="37"/>
    <n v="13881.37"/>
    <n v="41"/>
    <n v="338.57"/>
    <m/>
    <s v="G8400-60345"/>
  </r>
  <r>
    <s v="003 L00231187 01/16/2023 5003611224 P501 processor modul G8400-65853 K0 0.00 99.55 48.000 EA 4,778.40"/>
    <x v="21"/>
    <x v="44"/>
    <d v="2023-01-16T00:00:00"/>
    <x v="37"/>
    <n v="4778.3999999999996"/>
    <n v="48"/>
    <n v="99.55"/>
    <m/>
    <s v="G8400-65853"/>
  </r>
  <r>
    <s v="004 L00231187 01/16/2023 5003614304 PCA, Qcard carrier G6301-61048 K0 0.00 319.02 18.000 EA 5,742.36"/>
    <x v="21"/>
    <x v="45"/>
    <d v="2023-01-16T00:00:00"/>
    <x v="37"/>
    <n v="5742.36"/>
    <n v="18"/>
    <n v="319.02"/>
    <m/>
    <s v="G6301-61048"/>
  </r>
  <r>
    <s v="005 L00231353 01/16/2023 5003618561 ALS Controller G4350-63529 K0 0.00 85.10 21.000 EA 1,787.10"/>
    <x v="22"/>
    <x v="46"/>
    <d v="2023-01-16T00:00:00"/>
    <x v="37"/>
    <n v="1787.1"/>
    <n v="21"/>
    <n v="85.1"/>
    <m/>
    <s v="G4350-63529"/>
  </r>
  <r>
    <s v="006 L00231353 01/16/2023 5003630470 FPD Interface board G3435-61810 K0 0.00 102.18 4.000 EA 408.72"/>
    <x v="22"/>
    <x v="47"/>
    <d v="2023-01-16T00:00:00"/>
    <x v="37"/>
    <n v="408.72"/>
    <n v="4"/>
    <n v="102.18"/>
    <m/>
    <s v="G3435-61810"/>
  </r>
  <r>
    <s v="007 L00231187 01/16/2023 5003640603 QP Controller PCA Te G3280-65853 K0 0.00 411.77 32.000 EA 13,176.64"/>
    <x v="21"/>
    <x v="48"/>
    <d v="2023-01-16T00:00:00"/>
    <x v="37"/>
    <n v="13176.64"/>
    <n v="32"/>
    <n v="411.77"/>
    <m/>
    <s v="G3280-65853"/>
  </r>
  <r>
    <s v="008 L00231148 01/15/2023 5003642177 Water Flow Meter G3280-60203 K0 0.00 113.92 10.000 EA 1,139.20"/>
    <x v="23"/>
    <x v="49"/>
    <d v="2023-01-15T00:00:00"/>
    <x v="37"/>
    <n v="1139.2"/>
    <n v="10"/>
    <n v="113.92"/>
    <m/>
    <s v="G3280-60203"/>
  </r>
  <r>
    <s v="001 L00231188 01/13/2023 5003618674 PCA Channel TCD-Cont G3581-61011 X0 0.00 78.86 4.000 EA 315.44"/>
    <x v="24"/>
    <x v="50"/>
    <d v="2023-01-13T00:00:00"/>
    <x v="38"/>
    <n v="315.44"/>
    <n v="4"/>
    <n v="78.86"/>
    <m/>
    <s v="TCD-Cont"/>
  </r>
  <r>
    <s v="001 L00230956 01/13/2023 5003587373 Syr Drive Tensioner G4513-60517 X0 0.00 13.75 2.000 EA 27.50"/>
    <x v="25"/>
    <x v="51"/>
    <d v="2023-01-13T00:00:00"/>
    <x v="39"/>
    <n v="27.5"/>
    <n v="2"/>
    <n v="13.75"/>
    <m/>
    <s v="G4513-60517"/>
  </r>
  <r>
    <s v="002 L00231277 01/13/2023 5003642272 P501 processor modul G8400-65853 K0 0.00 99.55 5.000 EA 497.75"/>
    <x v="26"/>
    <x v="52"/>
    <d v="2023-01-13T00:00:00"/>
    <x v="40"/>
    <n v="497.75"/>
    <n v="5"/>
    <n v="99.55"/>
    <m/>
    <s v="G8400-65853"/>
  </r>
  <r>
    <s v="001 L00231068 01/17/2023 5003400860 Mainboard Infinity P G4220-65800 X0 0.00 456.51 14.000 EA 6,391.14"/>
    <x v="27"/>
    <x v="53"/>
    <d v="2023-01-17T00:00:00"/>
    <x v="41"/>
    <n v="6391.14"/>
    <n v="14"/>
    <n v="456.51000000000005"/>
    <m/>
    <s v="G4220-65800"/>
  </r>
  <r>
    <s v="001 L00230950 01/17/2023 5003605724 Mounting post for 76 G4513-20561 X0 0.00 3.93 30.000 EA 117.90"/>
    <x v="4"/>
    <x v="11"/>
    <d v="2023-01-17T00:00:00"/>
    <x v="42"/>
    <n v="117.9"/>
    <n v="30"/>
    <n v="3.93"/>
    <m/>
    <s v="G4513-20561"/>
  </r>
  <r>
    <s v="001 L00230957 01/17/2023 5003614416 Argon flow controlle G3280-67135 X0 0.00 569.52 45.000 EA 25,628.40"/>
    <x v="28"/>
    <x v="54"/>
    <d v="2023-01-17T00:00:00"/>
    <x v="43"/>
    <n v="25628.400000000001"/>
    <n v="45"/>
    <n v="569.52"/>
    <m/>
    <s v="G3280-67135"/>
  </r>
  <r>
    <s v="001 L00231254 01/16/2023 5003580407 ALS Interface PCA G3450-61841 K0 0.00 16.45 1.000 EA 16.45"/>
    <x v="29"/>
    <x v="55"/>
    <d v="2023-01-16T00:00:00"/>
    <x v="44"/>
    <n v="16.45"/>
    <n v="1"/>
    <n v="16.45"/>
    <m/>
    <s v="G3450-61841"/>
  </r>
  <r>
    <s v="002 L00230890 01/16/2023 5003607370 Analog &amp; Power PCA,8 G3450-61811 K0 0.00 195.08 32.000 EA 6,242.56"/>
    <x v="30"/>
    <x v="56"/>
    <d v="2023-01-16T00:00:00"/>
    <x v="44"/>
    <n v="6242.56"/>
    <n v="32"/>
    <n v="195.08"/>
    <m/>
    <s v="G3450-61811"/>
  </r>
  <r>
    <s v="003 L00230890 01/16/2023 5003607370 Lead Free Analog And G3430-61850 K0 0.00 187.75 12.000 EA 2,253.00"/>
    <x v="30"/>
    <x v="56"/>
    <d v="2023-01-16T00:00:00"/>
    <x v="44"/>
    <n v="2253"/>
    <n v="12"/>
    <n v="187.75"/>
    <m/>
    <s v="G3430-61850"/>
  </r>
  <r>
    <s v="004 L00230890 01/16/2023 5003607370 FID Electrometer PCA G3431-61815 K0 0.00 70.99 16.000 EA 1,135.84"/>
    <x v="30"/>
    <x v="56"/>
    <d v="2023-01-16T00:00:00"/>
    <x v="44"/>
    <n v="1135.8399999999999"/>
    <n v="16"/>
    <n v="70.989999999999995"/>
    <m/>
    <s v="G3431-61815"/>
  </r>
  <r>
    <s v="005 L00231843 01/16/2023 5003611200 RF generator G3280-60360 K0 0.00 2,551.33 8.000 EA 20,410.64"/>
    <x v="31"/>
    <x v="19"/>
    <d v="2023-01-16T00:00:00"/>
    <x v="44"/>
    <n v="20410.64"/>
    <n v="8"/>
    <n v="2551.33"/>
    <m/>
    <s v="G3280-60360"/>
  </r>
  <r>
    <s v="006 L00230861 01/16/2023 5003613224 PCA,Grid Plate C (Sh G1996-61104 K0 0.00 13.63 4.000 EA 54.52"/>
    <x v="32"/>
    <x v="57"/>
    <d v="2023-01-16T00:00:00"/>
    <x v="44"/>
    <n v="54.52"/>
    <n v="4"/>
    <n v="13.63"/>
    <m/>
    <s v="G1996-61104"/>
  </r>
  <r>
    <s v="007 L00230861 01/16/2023 5003614326 PCA, PMT Board, Scan G4900-61821 K0 0.00 656.91 9.000 EA 5,912.19"/>
    <x v="32"/>
    <x v="58"/>
    <d v="2023-01-16T00:00:00"/>
    <x v="44"/>
    <n v="5912.19"/>
    <n v="9"/>
    <n v="656.91"/>
    <m/>
    <s v="G4900-61821"/>
  </r>
  <r>
    <s v="008 L00230861 01/16/2023 5003614340 PCA, PLX with Serial G2581-61202 K0 0.00 403.78 34.000 EA 13,728.52"/>
    <x v="32"/>
    <x v="59"/>
    <d v="2023-01-16T00:00:00"/>
    <x v="44"/>
    <n v="13728.52"/>
    <n v="34"/>
    <n v="403.78000000000003"/>
    <m/>
    <s v="G2581-61202"/>
  </r>
  <r>
    <s v="009 L00230861 01/16/2023 5003614365 Ar EPC-I PCA - Teste G8400-65811 K0 0.00 189.64 30.000 EA 5,689.20"/>
    <x v="32"/>
    <x v="60"/>
    <d v="2023-01-16T00:00:00"/>
    <x v="44"/>
    <n v="5689.2"/>
    <n v="30"/>
    <n v="189.64"/>
    <m/>
    <s v="PCA"/>
  </r>
  <r>
    <s v="010 L00231254 01/16/2023 5003615337 8890 AC Board Assemb G3450-61820 K0 0.00 27.90 4.000 EA 111.60"/>
    <x v="29"/>
    <x v="61"/>
    <d v="2023-01-16T00:00:00"/>
    <x v="44"/>
    <n v="111.6"/>
    <n v="4"/>
    <n v="27.9"/>
    <m/>
    <s v="G3450-61820"/>
  </r>
  <r>
    <s v="011 L00231254 01/16/2023 5003618561 Touchscreen Assy,886 G3450-60573 K0 0.00 92.32 10.000 EA 923.20"/>
    <x v="29"/>
    <x v="46"/>
    <d v="2023-01-16T00:00:00"/>
    <x v="44"/>
    <n v="923.2"/>
    <n v="10"/>
    <n v="92.320000000000007"/>
    <m/>
    <s v="G3450-60573"/>
  </r>
  <r>
    <s v="012 L00231254 01/16/2023 5003618561 Touchscreen Assy,886 G3450-60573 K0 0.00 92.32 5.000 EA 461.60"/>
    <x v="29"/>
    <x v="46"/>
    <d v="2023-01-16T00:00:00"/>
    <x v="44"/>
    <n v="461.6"/>
    <n v="5"/>
    <n v="92.320000000000007"/>
    <m/>
    <s v="G3450-60573"/>
  </r>
  <r>
    <s v="013 L00230861 01/16/2023 5003619217 PCA, PMT Board, Scan G4900-61821 K0 0.00 656.91 3.000 EA 1,970.73"/>
    <x v="32"/>
    <x v="62"/>
    <d v="2023-01-16T00:00:00"/>
    <x v="44"/>
    <n v="1970.73"/>
    <n v="3"/>
    <n v="656.91"/>
    <m/>
    <s v="G4900-61821"/>
  </r>
  <r>
    <s v="014 L00230861 01/16/2023 5003619256 4.0 GHz Acquisition G1969-61204 K0 0.00 1,995.64 1.000 EA 1,995.64"/>
    <x v="32"/>
    <x v="63"/>
    <d v="2023-01-16T00:00:00"/>
    <x v="44"/>
    <n v="1995.64"/>
    <n v="1"/>
    <n v="1995.64"/>
    <m/>
    <s v="G1969-61204"/>
  </r>
  <r>
    <s v="015 L00231254 01/16/2023 5003627825 Lead Free Logic Boar G3430-61820 K0 0.00 99.89 48.000 EA 4,794.72"/>
    <x v="29"/>
    <x v="64"/>
    <d v="2023-01-16T00:00:00"/>
    <x v="44"/>
    <n v="4794.72"/>
    <n v="48"/>
    <n v="99.89"/>
    <m/>
    <s v="G3430-61820"/>
  </r>
  <r>
    <s v="001 L00231252 01/16/2023 5003554346 FID Detector W/ Igni G4591-61822 K0 0.00 46.54 1.000 EA 46.54"/>
    <x v="33"/>
    <x v="65"/>
    <d v="2023-01-16T00:00:00"/>
    <x v="45"/>
    <n v="46.54"/>
    <n v="1"/>
    <n v="46.54"/>
    <m/>
    <s v="G4591-61822"/>
  </r>
  <r>
    <s v="001 L00231252 01/16/2023 5003557853 FID Detector W/ Igni G4591-61822 K0 0.00 46.54 1.000 EA 46.54"/>
    <x v="33"/>
    <x v="66"/>
    <d v="2023-01-16T00:00:00"/>
    <x v="46"/>
    <n v="46.54"/>
    <n v="1"/>
    <n v="46.54"/>
    <m/>
    <s v="G4591-61822"/>
  </r>
  <r>
    <s v="001 L00231252 01/16/2023 5003560802 FID Detector W/ Igni G4591-61822 K0 0.00 46.54 1.000 EA 46.54"/>
    <x v="33"/>
    <x v="67"/>
    <d v="2023-01-16T00:00:00"/>
    <x v="47"/>
    <n v="46.54"/>
    <n v="1"/>
    <n v="46.54"/>
    <m/>
    <s v="G4591-61822"/>
  </r>
  <r>
    <s v="001 L00230890 01/16/2023 5003584040 FID Detector W/ Igni G4591-61822 K0 0.00 46.54 9.000 EA 418.86"/>
    <x v="30"/>
    <x v="68"/>
    <d v="2023-01-16T00:00:00"/>
    <x v="48"/>
    <n v="418.86"/>
    <n v="9"/>
    <n v="46.54"/>
    <m/>
    <s v="G4591-61822"/>
  </r>
  <r>
    <s v="001 L00230890 01/16/2023 5003585682 FID Detector W/ Igni G4591-61822 K0 0.00 46.54 1.000 EA 46.54"/>
    <x v="30"/>
    <x v="69"/>
    <d v="2023-01-16T00:00:00"/>
    <x v="49"/>
    <n v="46.54"/>
    <n v="1"/>
    <n v="46.54"/>
    <m/>
    <s v="G4591-61822"/>
  </r>
  <r>
    <s v="001 L00230890 01/16/2023 5003592236 FID Detector W/ Igni G4591-61822 K0 0.00 46.54 2.000 EA 93.08"/>
    <x v="30"/>
    <x v="70"/>
    <d v="2023-01-16T00:00:00"/>
    <x v="50"/>
    <n v="93.08"/>
    <n v="2"/>
    <n v="46.54"/>
    <m/>
    <s v="G4591-61822"/>
  </r>
  <r>
    <s v="001 L00230890 01/16/2023 5003593662 FID Detector W/ Igni G4591-61822 K0 0.00 46.54 1.000 EA 46.54"/>
    <x v="30"/>
    <x v="71"/>
    <d v="2023-01-16T00:00:00"/>
    <x v="51"/>
    <n v="46.54"/>
    <n v="1"/>
    <n v="46.54"/>
    <m/>
    <s v="G4591-61822"/>
  </r>
  <r>
    <s v="001 L00230890 01/16/2023 5003598213 FID Detector W/ Igni G4591-61822 K0 0.00 46.54 1.000 EA 46.54"/>
    <x v="30"/>
    <x v="72"/>
    <d v="2023-01-16T00:00:00"/>
    <x v="52"/>
    <n v="46.54"/>
    <n v="1"/>
    <n v="46.54"/>
    <m/>
    <s v="G4591-61822"/>
  </r>
  <r>
    <s v="001 L00230890 01/16/2023 5003605239 FID Detector W/ Igni G4591-61822 K0 0.00 46.54 1.000 EA 46.54"/>
    <x v="30"/>
    <x v="73"/>
    <d v="2023-01-16T00:00:00"/>
    <x v="53"/>
    <n v="46.54"/>
    <n v="1"/>
    <n v="46.54"/>
    <m/>
    <s v="G4591-61822"/>
  </r>
  <r>
    <s v="001 L00231252 01/16/2023 5003607373 Control PCA G4511-61821 K0 0.00 241.51 1.000 EA 241.51"/>
    <x v="33"/>
    <x v="74"/>
    <d v="2023-01-16T00:00:00"/>
    <x v="54"/>
    <n v="241.51"/>
    <n v="1"/>
    <n v="241.51"/>
    <m/>
    <s v="G4511-61821"/>
  </r>
  <r>
    <s v="002 L00230890 01/16/2023 5003607373 FID Detector W/ Igni G4591-61822 K0 0.00 46.54 7.000 EA 325.78"/>
    <x v="30"/>
    <x v="74"/>
    <d v="2023-01-16T00:00:00"/>
    <x v="54"/>
    <n v="325.77999999999997"/>
    <n v="7"/>
    <n v="46.54"/>
    <m/>
    <s v="G4591-61822"/>
  </r>
  <r>
    <s v="003 L00231252 01/16/2023 5003607373 7697A Logic Board Su G4556-67101 K0 0.00 118.22 32.000 EA 3,783.04"/>
    <x v="33"/>
    <x v="74"/>
    <d v="2023-01-16T00:00:00"/>
    <x v="54"/>
    <n v="3783.04"/>
    <n v="32"/>
    <n v="118.22"/>
    <m/>
    <s v="G4556-67101"/>
  </r>
  <r>
    <s v="001 L00231455 01/17/2023 2351575136 8890 PCA ECD Electro G3450-61883 I1 0.00 72.19 14.000 EA 1,010.66"/>
    <x v="34"/>
    <x v="75"/>
    <d v="2023-01-17T00:00:00"/>
    <x v="55"/>
    <n v="1010.66"/>
    <n v="14"/>
    <n v="72.19"/>
    <m/>
    <s v="G3450-61883"/>
  </r>
  <r>
    <s v="002 L00231455 01/17/2023 2351647528 XCD Controller PCA A G3488-61820 I1 0.00 193.08 2.000 EA 386.16"/>
    <x v="34"/>
    <x v="76"/>
    <d v="2023-01-17T00:00:00"/>
    <x v="55"/>
    <n v="386.16"/>
    <n v="2"/>
    <n v="193.08"/>
    <m/>
    <s v="G3488-61820"/>
  </r>
  <r>
    <s v="003 L00231510 01/17/2023 2351649162 PCA, Lower Separatio G4580-61851 I1 0.00 15.69 9.000 EA 141.21"/>
    <x v="35"/>
    <x v="77"/>
    <d v="2023-01-17T00:00:00"/>
    <x v="55"/>
    <n v="141.21"/>
    <n v="9"/>
    <n v="15.690000000000001"/>
    <m/>
    <s v="G4580-61851"/>
  </r>
  <r>
    <s v="004 L00231510 01/17/2023 2351649162 XCD Electrometer Ass G3488-61830 I1 0.00 39.40 20.000 EA 788.00"/>
    <x v="35"/>
    <x v="77"/>
    <d v="2023-01-17T00:00:00"/>
    <x v="55"/>
    <n v="788"/>
    <n v="20"/>
    <n v="39.4"/>
    <m/>
    <s v="G3488-61830"/>
  </r>
  <r>
    <s v="005 L00231455 01/17/2023 2351663395 XCD Controller PCA A G3488-61820 I1 0.00 193.08 1.000 EA 193.08"/>
    <x v="34"/>
    <x v="78"/>
    <d v="2023-01-17T00:00:00"/>
    <x v="55"/>
    <n v="193.08"/>
    <n v="1"/>
    <n v="193.08"/>
    <m/>
    <s v="G3488-61820"/>
  </r>
  <r>
    <s v="006 L00231314 01/17/2023 2351663940 Detector Feedthru PC G7000-61013 I1 0.00 9.78 144.000 EA 1,408.32"/>
    <x v="36"/>
    <x v="79"/>
    <d v="2023-01-17T00:00:00"/>
    <x v="55"/>
    <n v="1408.32"/>
    <n v="144"/>
    <n v="9.7799999999999994"/>
    <m/>
    <s v="G7000-61013"/>
  </r>
  <r>
    <s v="007 L00231314 01/17/2023 2351664191 Switch PCA G7000-61110 I1 0.00 11.66 96.000 EA 1,119.36"/>
    <x v="36"/>
    <x v="80"/>
    <d v="2023-01-17T00:00:00"/>
    <x v="55"/>
    <n v="1119.3599999999999"/>
    <n v="96"/>
    <n v="11.659999999999998"/>
    <m/>
    <s v="G7000-61110"/>
  </r>
  <r>
    <s v="008 L00230888 01/17/2023 2351665188 Analog Input PCA G3456-61810 I1 0.00 47.92 3.000 EA 143.76"/>
    <x v="37"/>
    <x v="81"/>
    <d v="2023-01-17T00:00:00"/>
    <x v="55"/>
    <n v="143.76"/>
    <n v="3"/>
    <n v="47.919999999999995"/>
    <m/>
    <s v="G3456-61810"/>
  </r>
  <r>
    <s v="009 L00231548 01/17/2023 2351669094 Key Board Assembly G3430-60555 I1 0.00 144.79 6.000 EA 868.74"/>
    <x v="38"/>
    <x v="82"/>
    <d v="2023-01-17T00:00:00"/>
    <x v="55"/>
    <n v="868.74"/>
    <n v="6"/>
    <n v="144.79"/>
    <m/>
    <s v="G3430-60555"/>
  </r>
  <r>
    <s v="010 L00231548 01/17/2023 2351669094 Key Board Assembly G3430-60555 I1 0.00 144.79 1.000 EA 144.79"/>
    <x v="38"/>
    <x v="82"/>
    <d v="2023-01-17T00:00:00"/>
    <x v="55"/>
    <n v="144.79"/>
    <n v="1"/>
    <n v="144.79"/>
    <m/>
    <s v="G3430-60555"/>
  </r>
  <r>
    <s v="011 L00230888 01/17/2023 2351671007 FID Electrometer PCA G3431-61815 I1 0.00 70.99 16.000 EA 1,135.84"/>
    <x v="37"/>
    <x v="83"/>
    <d v="2023-01-17T00:00:00"/>
    <x v="55"/>
    <n v="1135.8399999999999"/>
    <n v="16"/>
    <n v="70.989999999999995"/>
    <m/>
    <s v="G3431-61815"/>
  </r>
  <r>
    <s v="012 L00231510 01/17/2023 2351671791 Tray Interface PCA G4511-61840 I1 0.00 5.68 30.000 EA 170.40"/>
    <x v="35"/>
    <x v="84"/>
    <d v="2023-01-17T00:00:00"/>
    <x v="55"/>
    <n v="170.4"/>
    <n v="30"/>
    <n v="5.6800000000000006"/>
    <m/>
    <s v="G4511-61840"/>
  </r>
  <r>
    <s v="013 L00231510 01/17/2023 2351671791 PCA, NPD Interface B G4594-61820 I1 0.00 100.53 20.000 EA 2,010.60"/>
    <x v="35"/>
    <x v="84"/>
    <d v="2023-01-17T00:00:00"/>
    <x v="55"/>
    <n v="2010.6"/>
    <n v="20"/>
    <n v="100.53"/>
    <m/>
    <s v="G4594-61820"/>
  </r>
  <r>
    <s v="014 L00231798 01/17/2023 2351671793 FID Signal Board G1531-60010 I1 0.00 144.56 30.000 EA 4,336.80"/>
    <x v="39"/>
    <x v="85"/>
    <d v="2023-01-17T00:00:00"/>
    <x v="55"/>
    <n v="4336.8"/>
    <n v="30"/>
    <n v="144.56"/>
    <m/>
    <s v="G1531-60010"/>
  </r>
  <r>
    <s v="015 L00231455 01/17/2023 2351671793 XCD Controller PCA A G3488-61820 I1 0.00 193.08 1.000 EA 193.08"/>
    <x v="34"/>
    <x v="85"/>
    <d v="2023-01-17T00:00:00"/>
    <x v="55"/>
    <n v="193.08"/>
    <n v="1"/>
    <n v="193.08"/>
    <m/>
    <s v="G3488-61820"/>
  </r>
  <r>
    <s v="016 L00231455 01/17/2023 2351671793 Analog &amp; Power PCA,8 G3450-61811 I1 0.00 195.08 10.000 EA 1,950.80"/>
    <x v="34"/>
    <x v="85"/>
    <d v="2023-01-17T00:00:00"/>
    <x v="55"/>
    <n v="1950.8"/>
    <n v="10"/>
    <n v="195.07999999999998"/>
    <m/>
    <s v="G3450-61811"/>
  </r>
  <r>
    <s v="017 L00230888 01/17/2023 2351671793 7890B Logic Board Wi G3430-61110 I1 0.00 102.07 26.000 EA 2,653.82"/>
    <x v="37"/>
    <x v="85"/>
    <d v="2023-01-17T00:00:00"/>
    <x v="55"/>
    <n v="2653.82"/>
    <n v="26"/>
    <n v="102.07000000000001"/>
    <m/>
    <s v="G3430-61110"/>
  </r>
  <r>
    <s v="018 L00231455 01/17/2023 2351671793 PCA, Carrier Board G4580-61811 I1 0.00 280.19 3.000 EA 840.57"/>
    <x v="34"/>
    <x v="85"/>
    <d v="2023-01-17T00:00:00"/>
    <x v="55"/>
    <n v="840.57"/>
    <n v="3"/>
    <n v="280.19"/>
    <m/>
    <s v="G4580-61811"/>
  </r>
  <r>
    <s v="019 L00231510 01/17/2023 2351677263 Short Y Interface PC G4511-61848 I1 0.00 11.74 20.000 EA 234.80"/>
    <x v="35"/>
    <x v="86"/>
    <d v="2023-01-17T00:00:00"/>
    <x v="55"/>
    <n v="234.8"/>
    <n v="20"/>
    <n v="11.74"/>
    <m/>
    <s v="G4511-61848"/>
  </r>
  <r>
    <s v="002 L00231268 01/17/2023 2351667820 G4514A Tray Refrofit G4514-68000 I1 0.00 50.36 3.000 EA 151.08"/>
    <x v="40"/>
    <x v="87"/>
    <d v="2023-01-17T00:00:00"/>
    <x v="56"/>
    <n v="151.08000000000001"/>
    <n v="3"/>
    <n v="50.360000000000007"/>
    <m/>
    <s v="G4514-68000"/>
  </r>
  <r>
    <s v="003 L00230888 01/17/2023 2351671008 7820 Lead Free Logic G4350-61820 I1 0.00 99.98 6.000 EA 599.88"/>
    <x v="37"/>
    <x v="88"/>
    <d v="2023-01-17T00:00:00"/>
    <x v="56"/>
    <n v="599.88"/>
    <n v="6"/>
    <n v="99.98"/>
    <m/>
    <s v="G4350-61820"/>
  </r>
  <r>
    <s v="004 L00230888 01/17/2023 2351671796 FID Detector W/ Igni G4591-61822 I1 0.00 46.54 96.000 EA 4,467.84"/>
    <x v="37"/>
    <x v="89"/>
    <d v="2023-01-17T00:00:00"/>
    <x v="56"/>
    <n v="4467.84"/>
    <n v="96"/>
    <n v="46.54"/>
    <m/>
    <s v="G4591-61822"/>
  </r>
  <r>
    <s v="005 L00230888 01/17/2023 2351671796 FID Detector W/ Igni G4591-61822 I1 0.00 46.54 17.000 EA 791.18"/>
    <x v="37"/>
    <x v="89"/>
    <d v="2023-01-17T00:00:00"/>
    <x v="56"/>
    <n v="791.18"/>
    <n v="17"/>
    <n v="46.54"/>
    <m/>
    <s v="G4591-61822"/>
  </r>
  <r>
    <s v="007 L00231420 01/17/2023 2351678640 Gantry Module Assemb G4556-67911 I1 0.00 204.19 13.000 EA 2,654.47"/>
    <x v="41"/>
    <x v="90"/>
    <d v="2023-01-17T00:00:00"/>
    <x v="56"/>
    <n v="2654.47"/>
    <n v="13"/>
    <n v="204.19"/>
    <m/>
    <s v="G4556-67911"/>
  </r>
  <r>
    <s v="001 L00231643 01/17/2023 5003603516 111 Vial Model Tray G4556-64014 C5 0.00 1,043.19 16.000 EA 16,691.04"/>
    <x v="42"/>
    <x v="91"/>
    <d v="2023-01-17T00:00:00"/>
    <x v="57"/>
    <n v="16691.04"/>
    <n v="16"/>
    <n v="1043.19"/>
    <m/>
    <s v="G4556-64014"/>
  </r>
  <r>
    <s v="002 L00231368 01/17/2023 5003606166 Mainframe Assembly i G3450-60588 C5 0.00 1,388.88 76.000 EA 105,554.88"/>
    <x v="43"/>
    <x v="34"/>
    <d v="2023-01-17T00:00:00"/>
    <x v="57"/>
    <n v="105554.88"/>
    <n v="76"/>
    <n v="1388.88"/>
    <m/>
    <s v="G3450-60588"/>
  </r>
  <r>
    <s v="003 L00231368 01/17/2023 5003606166 Nexus E MF Assy 220V G3450-60956 C5 0.00 1,195.80 32.000 EA 38,265.60"/>
    <x v="43"/>
    <x v="34"/>
    <d v="2023-01-17T00:00:00"/>
    <x v="57"/>
    <n v="38265.599999999999"/>
    <n v="32"/>
    <n v="1195.8"/>
    <m/>
    <s v="G3450-60956"/>
  </r>
  <r>
    <s v="004 L00231643 01/17/2023 5003631183 7650A Injector G4567-64000 C5 0.00 1,195.05 24.000 EA 28,681.20"/>
    <x v="42"/>
    <x v="92"/>
    <d v="2023-01-17T00:00:00"/>
    <x v="57"/>
    <n v="28681.200000000001"/>
    <n v="24"/>
    <n v="1195.05"/>
    <m/>
    <s v="G4567-64000"/>
  </r>
  <r>
    <s v="005 L00231643 01/17/2023 5003644767 G4514A Tray (COO-CN) G4514-64000 C5 0.00 1,127.15 24.000 EA 27,051.60"/>
    <x v="42"/>
    <x v="93"/>
    <d v="2023-01-17T00:00:00"/>
    <x v="57"/>
    <n v="27051.599999999999"/>
    <n v="24"/>
    <n v="1127.1499999999999"/>
    <m/>
    <s v="G4514-64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">
  <r>
    <s v="001 L00230964 01/16/2023 5003527928 Diffusion caps for 4 07673-40180 K0 0.00 6.79 200.000 EA 1,358.00"/>
    <x v="0"/>
    <x v="0"/>
    <d v="2023-01-16T00:00:00"/>
    <x v="0"/>
    <n v="1358"/>
    <n v="200"/>
    <n v="6.79"/>
    <s v="Done"/>
    <s v="07673-40180"/>
  </r>
  <r>
    <s v="001 L00230964 01/16/2023 5003564185 Z-FLEX Cable Assy G4514-60612 K0 0.00 8.46 2.000 EA 16.92"/>
    <x v="0"/>
    <x v="1"/>
    <d v="2023-01-16T00:00:00"/>
    <x v="1"/>
    <n v="16.920000000000002"/>
    <n v="2"/>
    <n v="8.4600000000000009"/>
    <s v="Done"/>
    <s v="Z-FLEX"/>
  </r>
  <r>
    <s v="001 L00231412 01/16/2023 5003598214 RP Syringe Carriage G4513-67970 K0 0.00 139.67 60.000 EA 8,380.20"/>
    <x v="1"/>
    <x v="2"/>
    <d v="2023-01-16T00:00:00"/>
    <x v="2"/>
    <n v="8380.2000000000007"/>
    <n v="60"/>
    <n v="139.67000000000002"/>
    <s v="Done"/>
    <s v="G4513-67970"/>
  </r>
  <r>
    <s v="001 L00231412 01/16/2023 5003603610 X-axis Drive Module G4514-67920 K0 0.00 133.69 5.000 EA 668.45"/>
    <x v="1"/>
    <x v="3"/>
    <d v="2023-01-16T00:00:00"/>
    <x v="3"/>
    <n v="668.45"/>
    <n v="5"/>
    <n v="133.69"/>
    <s v="Done"/>
    <s v="X-axis"/>
  </r>
  <r>
    <s v="001 L00230964 01/16/2023 5003636516 MAIN CBL ASSY G2613-60590 K0 0.00 18.41 5.000 EA 92.05"/>
    <x v="0"/>
    <x v="4"/>
    <d v="2023-01-16T00:00:00"/>
    <x v="4"/>
    <n v="92.05"/>
    <n v="5"/>
    <n v="18.41"/>
    <s v="Done"/>
    <s v="G2613-60590"/>
  </r>
  <r>
    <s v="001 L00230885 01/18/2023 5003450192 Analog &amp; Power PCA,8 G3450-61811 X0 0.00 195.08 5.000 EA 975.40"/>
    <x v="2"/>
    <x v="5"/>
    <d v="2023-01-18T00:00:00"/>
    <x v="5"/>
    <n v="975.4"/>
    <n v="5"/>
    <n v="195.07999999999998"/>
    <s v="Done"/>
    <s v="G3450-61811"/>
  </r>
  <r>
    <s v="001 L00230947 01/18/2023 5003497527 Wire-Guide, propylen G2613-40140 X0 0.00 9.85 4.000 EA 39.40"/>
    <x v="3"/>
    <x v="6"/>
    <d v="2023-01-18T00:00:00"/>
    <x v="6"/>
    <n v="39.4"/>
    <n v="4"/>
    <n v="9.85"/>
    <s v="Done"/>
    <s v="Wire-Guide"/>
  </r>
  <r>
    <s v="001 L00230950 01/18/2023 5003520592 Door Assembly G4567-60410 X0 0.00 4.09 8.000 EA 32.72"/>
    <x v="4"/>
    <x v="7"/>
    <d v="2023-01-18T00:00:00"/>
    <x v="7"/>
    <n v="32.72"/>
    <n v="8"/>
    <n v="4.09"/>
    <s v="Done"/>
    <s v="G4567-60410"/>
  </r>
  <r>
    <s v="001 L00230950 01/18/2023 5003556635 Needle support inser G4513-40529 X0 0.00 0.98 60.000 EA 58.80"/>
    <x v="4"/>
    <x v="8"/>
    <d v="2023-01-18T00:00:00"/>
    <x v="8"/>
    <n v="58.8"/>
    <n v="60"/>
    <n v="0.98"/>
    <s v="Done"/>
    <s v="G4513-40529"/>
  </r>
  <r>
    <s v="001 L00230950 01/18/2023 5003567912 Door Assembly G4567-60410 X0 0.00 4.09 2.000 EA 8.18"/>
    <x v="4"/>
    <x v="9"/>
    <d v="2023-01-18T00:00:00"/>
    <x v="9"/>
    <n v="8.18"/>
    <n v="2"/>
    <n v="4.09"/>
    <s v="Done"/>
    <s v="G4567-60410"/>
  </r>
  <r>
    <s v="002 L00230950 01/18/2023 5003567912 Syringe Drive Belt G4513-80522 X0 0.00 2.01 34.000 EA 68.34"/>
    <x v="4"/>
    <x v="9"/>
    <d v="2023-01-18T00:00:00"/>
    <x v="9"/>
    <n v="68.34"/>
    <n v="34"/>
    <n v="2.0100000000000002"/>
    <s v="Done"/>
    <s v="G4513-80522"/>
  </r>
  <r>
    <s v="001 L00230950 01/18/2023 5003573839 Wire-Guide, propylen G2613-40140 X0 0.00 9.85 16.000 EA 157.60"/>
    <x v="4"/>
    <x v="10"/>
    <d v="2023-01-18T00:00:00"/>
    <x v="10"/>
    <n v="157.6"/>
    <n v="16"/>
    <n v="9.85"/>
    <s v="Done"/>
    <s v="Wire-Guide"/>
  </r>
  <r>
    <s v="001 L00230950 01/18/2023 5003605724 Diffusion caps for 4 07673-40180 X0 0.00 6.79 400.000 EA 2,716.00"/>
    <x v="4"/>
    <x v="11"/>
    <d v="2023-01-18T00:00:00"/>
    <x v="11"/>
    <n v="2716"/>
    <n v="400"/>
    <n v="6.79"/>
    <s v="Done"/>
    <s v="07673-40180"/>
  </r>
  <r>
    <s v="001 L00230950 01/18/2023 5003607728 MAIN CBL ASSY G2613-60590 X0 0.00 18.41 13.000 EA 239.33"/>
    <x v="4"/>
    <x v="12"/>
    <d v="2023-01-18T00:00:00"/>
    <x v="12"/>
    <n v="239.33"/>
    <n v="13"/>
    <n v="18.41"/>
    <s v="Done"/>
    <s v="G2613-60590"/>
  </r>
  <r>
    <s v="001 L00230885 01/18/2023 5003613512 PCA-EPC 6890N G1575-60015 X0 0.00 124.81 4.000 EA 499.24"/>
    <x v="2"/>
    <x v="13"/>
    <d v="2023-01-18T00:00:00"/>
    <x v="13"/>
    <n v="499.24"/>
    <n v="4"/>
    <n v="124.81"/>
    <s v="Done"/>
    <n v="6"/>
  </r>
  <r>
    <s v="001 L00230885 01/18/2023 5003620754 8890 Analog And Powe G3450-67006 X0 0.00 405.00 1.000 EA 405.00"/>
    <x v="2"/>
    <x v="14"/>
    <d v="2023-01-18T00:00:00"/>
    <x v="14"/>
    <n v="405"/>
    <n v="1"/>
    <n v="405"/>
    <s v="Done"/>
    <s v="G3450-67006"/>
  </r>
  <r>
    <s v="001 L00230885 01/18/2023 5003621815 7820 FID Electromete G4331-61815 X0 0.00 109.49 14.000 EA 1,532.86"/>
    <x v="2"/>
    <x v="15"/>
    <d v="2023-01-18T00:00:00"/>
    <x v="15"/>
    <n v="1532.86"/>
    <n v="14"/>
    <n v="109.49"/>
    <s v="Done"/>
    <s v="G4331-61815"/>
  </r>
  <r>
    <s v="001 L00230885 01/18/2023 5003623538 Key Board Assembly G3430-60555 X0 0.00 146.41 12.000 EA 1,756.92"/>
    <x v="2"/>
    <x v="16"/>
    <d v="2023-01-18T00:00:00"/>
    <x v="16"/>
    <n v="1756.92"/>
    <n v="12"/>
    <n v="146.41"/>
    <s v="Done"/>
    <s v="G3430-60555"/>
  </r>
  <r>
    <s v="001 L00231627 01/18/2023 5003507920 Mainframe Assy for 7 G8420-60350 K0 0.00 11,316.49 8.000 EA 90,531.92"/>
    <x v="5"/>
    <x v="17"/>
    <d v="2023-01-18T00:00:00"/>
    <x v="17"/>
    <n v="90531.92"/>
    <n v="8"/>
    <n v="11316.49"/>
    <s v="Done"/>
    <s v="G8420-60350"/>
  </r>
  <r>
    <s v="001 L00231627 01/18/2023 5003507939 Mainframe Assy G8400-60300 K0 0.00 11,316.49 2.000 EA 22,632.98"/>
    <x v="5"/>
    <x v="18"/>
    <d v="2023-01-18T00:00:00"/>
    <x v="18"/>
    <n v="22632.98"/>
    <n v="2"/>
    <n v="11316.49"/>
    <s v="Done"/>
    <s v="G8400-60300"/>
  </r>
  <r>
    <s v="001 L00231772 01/18/2023 5003611200 RF generator G3280-60360 K0 0.00 2,551.33 10.000 EA 25,513.30"/>
    <x v="6"/>
    <x v="19"/>
    <d v="2023-01-18T00:00:00"/>
    <x v="19"/>
    <n v="25513.3"/>
    <n v="10"/>
    <n v="2551.33"/>
    <s v="Done"/>
    <s v="G3280-60360"/>
  </r>
  <r>
    <s v="001 L00230953 01/17/2023 5003614551 Argon flow controlle G3280-67135 K0 0.00 569.52 40.000 EA 22,780.80"/>
    <x v="7"/>
    <x v="20"/>
    <d v="2023-01-17T00:00:00"/>
    <x v="20"/>
    <n v="22780.799999999999"/>
    <n v="40"/>
    <n v="569.52"/>
    <s v="Done"/>
    <s v="G3280-67135"/>
  </r>
  <r>
    <s v="001 L00230953 01/17/2023 5003614579 RF Generator (Pb Fre G8400-67033 K0 0.00 2,553.56 10.000 EA 25,535.60"/>
    <x v="7"/>
    <x v="21"/>
    <d v="2023-01-17T00:00:00"/>
    <x v="21"/>
    <n v="25535.599999999999"/>
    <n v="10"/>
    <n v="2553.56"/>
    <s v="Done"/>
    <s v="G8400-67033"/>
  </r>
  <r>
    <s v="001 L00230806 01/17/2023 5003631185 7650A Injector G4567-64000 K0 0.00 1,195.05 12.000 EA 14,340.60"/>
    <x v="8"/>
    <x v="22"/>
    <d v="2023-01-17T00:00:00"/>
    <x v="22"/>
    <n v="14340.6"/>
    <n v="12"/>
    <n v="1195.05"/>
    <s v="Done"/>
    <s v="G4567-64000"/>
  </r>
  <r>
    <s v="001 L00230963 01/17/2023 5003634382 RP Exterior Housing G4513-67573 K0 0.00 28.59 20.000 EA 571.80"/>
    <x v="9"/>
    <x v="23"/>
    <d v="2023-01-17T00:00:00"/>
    <x v="23"/>
    <n v="571.79999999999995"/>
    <n v="20"/>
    <n v="28.589999999999996"/>
    <s v="Done"/>
    <s v="G4513-67573"/>
  </r>
  <r>
    <s v="001 L00230885 01/18/2023 5003553241 8890 Analog &amp; Power G3450-61812 X0 0.00 214.92 1.000 EA 214.92"/>
    <x v="2"/>
    <x v="24"/>
    <d v="2023-01-18T00:00:00"/>
    <x v="24"/>
    <n v="214.92"/>
    <n v="1"/>
    <n v="214.92"/>
    <s v="Done"/>
    <s v="G3450-61812"/>
  </r>
  <r>
    <s v="001 L00230885 01/18/2023 5003590640 8890 Inlet TC Interf G3450-61870 X0 0.00 44.56 5.000 EA 222.80"/>
    <x v="2"/>
    <x v="25"/>
    <d v="2023-01-18T00:00:00"/>
    <x v="25"/>
    <n v="222.8"/>
    <n v="5"/>
    <n v="44.56"/>
    <s v="Done"/>
    <s v="G3450-61870"/>
  </r>
  <r>
    <s v="001 L00231407 01/18/2023 5003623596 SHIP Kit - Rover G4514-60800 X0 0.00 106.01 3.000 EA 318.03"/>
    <x v="10"/>
    <x v="26"/>
    <d v="2023-01-18T00:00:00"/>
    <x v="26"/>
    <n v="318.02999999999997"/>
    <n v="3"/>
    <n v="106.00999999999999"/>
    <s v="Done"/>
    <s v="Rove"/>
  </r>
  <r>
    <s v="001 L00230945 01/18/2023 2351641181 M3x10mm Nylon Screw G4514-20596 I1 0.00 0.19 30.000 EA 5.70"/>
    <x v="11"/>
    <x v="27"/>
    <d v="2023-01-18T00:00:00"/>
    <x v="27"/>
    <n v="5.7"/>
    <n v="30"/>
    <n v="0.19"/>
    <s v="Done"/>
    <s v="G4514-20596"/>
  </r>
  <r>
    <s v="001 L00230945 01/18/2023 2351648296 PCB Spacer-Plastic S G2613-40200 I1 0.00 0.90 27.000 EA 24.30"/>
    <x v="11"/>
    <x v="28"/>
    <d v="2023-01-18T00:00:00"/>
    <x v="28"/>
    <n v="24.3"/>
    <n v="27"/>
    <n v="0.9"/>
    <s v="Done"/>
    <s v="Spacer-Plast"/>
  </r>
  <r>
    <s v="001 L00231312 01/18/2023 2351667069 PCA, AC BD G7000-61017 I1 0.00 152.61 29.000 EA 4,425.69"/>
    <x v="12"/>
    <x v="29"/>
    <d v="2023-01-18T00:00:00"/>
    <x v="29"/>
    <n v="4425.6899999999996"/>
    <n v="29"/>
    <n v="152.60999999999999"/>
    <s v="Done"/>
    <s v="G7000-61017"/>
  </r>
  <r>
    <s v="001 L00230945 01/18/2023 2351676430 ALS Main Cable Assem G4514-60610 I1 0.00 12.64 7.000 EA 88.48"/>
    <x v="11"/>
    <x v="30"/>
    <d v="2023-01-18T00:00:00"/>
    <x v="30"/>
    <n v="88.48"/>
    <n v="7"/>
    <n v="12.64"/>
    <s v="Done"/>
    <s v="G4514-60610"/>
  </r>
  <r>
    <s v="001 L00231271 01/18/2023 2351632982 HV-A PCA Tested (Pb- G8400-65818 I1 0.00 513.24 1.000 EA 513.24"/>
    <x v="13"/>
    <x v="31"/>
    <d v="2023-01-18T00:00:00"/>
    <x v="31"/>
    <n v="513.24"/>
    <n v="1"/>
    <n v="513.24"/>
    <s v="Done"/>
    <s v="PCA"/>
  </r>
  <r>
    <s v="001 L00231271 01/18/2023 2351636021 HV-A PCA Tested (Pb- G8400-65818 I1 0.00 513.24 3.000 EA 1,539.72"/>
    <x v="13"/>
    <x v="32"/>
    <d v="2023-01-18T00:00:00"/>
    <x v="32"/>
    <n v="1539.72"/>
    <n v="3"/>
    <n v="513.24"/>
    <s v="Done"/>
    <s v="PCA"/>
  </r>
  <r>
    <s v="001 L00231271 01/18/2023 2351647844 HV-A PCA Tested (Pb- G8400-65818 I1 0.00 513.24 4.000 EA 2,052.96"/>
    <x v="13"/>
    <x v="33"/>
    <d v="2023-01-18T00:00:00"/>
    <x v="33"/>
    <n v="2052.96"/>
    <n v="4"/>
    <n v="513.24"/>
    <s v="Done"/>
    <s v="PCA"/>
  </r>
  <r>
    <s v="001 L00231362 01/13/2023 5003606166 Mainframe Assembly i G3450-60588 C5 0.00 1,388.88 54.000 EA 74,999.52"/>
    <x v="14"/>
    <x v="34"/>
    <d v="2023-01-13T00:00:00"/>
    <x v="34"/>
    <n v="74999.520000000004"/>
    <n v="54"/>
    <n v="1388.88"/>
    <s v="Done"/>
    <s v="G3450-60588"/>
  </r>
  <r>
    <s v="002 L00231168 01/13/2023 5003613845 8890 PCA NPD Electro G3450-61884 C5 0.00 45.48 7.000 EA 318.36"/>
    <x v="15"/>
    <x v="35"/>
    <d v="2023-01-13T00:00:00"/>
    <x v="34"/>
    <n v="318.36"/>
    <n v="7"/>
    <n v="45.480000000000004"/>
    <s v="Done"/>
    <s v="G3450-61884"/>
  </r>
  <r>
    <s v="003 L00231358 01/13/2023 5003618574 OVENUNIT HEATED MICR CP742834 C5 0.00 188.74 157.000 EA 29,632.18"/>
    <x v="16"/>
    <x v="36"/>
    <d v="2023-01-13T00:00:00"/>
    <x v="34"/>
    <n v="29632.18"/>
    <n v="157"/>
    <n v="188.74"/>
    <s v="Done"/>
    <s v="CP742834"/>
  </r>
  <r>
    <s v="004 L00231359 01/13/2023 5003618574 Micro GC Main Board G3581-65000 C5 0.00 204.53 60.000 EA 12,271.80"/>
    <x v="17"/>
    <x v="36"/>
    <d v="2023-01-13T00:00:00"/>
    <x v="34"/>
    <n v="12271.8"/>
    <n v="60"/>
    <n v="204.53"/>
    <s v="Done"/>
    <s v="G3581-65000"/>
  </r>
  <r>
    <s v="005 L00231359 01/13/2023 5003619201 PCA Channel TCD-Cont G3581-61011 C5 0.00 78.86 228.000 EA 17,980.08"/>
    <x v="17"/>
    <x v="37"/>
    <d v="2023-01-13T00:00:00"/>
    <x v="34"/>
    <n v="17980.080000000002"/>
    <n v="228"/>
    <n v="78.860000000000014"/>
    <s v="Done"/>
    <s v="G3581-61011"/>
  </r>
  <r>
    <s v="006 L00231168 01/13/2023 5003620622 TCD Interface board G3432-61815 C5 0.00 56.18 3.000 EA 168.54"/>
    <x v="15"/>
    <x v="38"/>
    <d v="2023-01-13T00:00:00"/>
    <x v="34"/>
    <n v="168.54"/>
    <n v="3"/>
    <n v="56.18"/>
    <s v="Done"/>
    <s v="G3432-61815"/>
  </r>
  <r>
    <s v="007 L00231168 01/13/2023 5003620622 Leadfree ECD Electro G3433-61810 C5 0.00 58.72 1.000 EA 58.72"/>
    <x v="15"/>
    <x v="38"/>
    <d v="2023-01-13T00:00:00"/>
    <x v="34"/>
    <n v="58.72"/>
    <n v="1"/>
    <n v="58.72"/>
    <s v="Done"/>
    <s v="G3433-61810"/>
  </r>
  <r>
    <s v="008 L00231168 01/13/2023 5003620622 NPD Electrometer PCA G3434-61810 C5 0.00 50.47 2.000 EA 100.94"/>
    <x v="15"/>
    <x v="38"/>
    <d v="2023-01-13T00:00:00"/>
    <x v="34"/>
    <n v="100.94"/>
    <n v="2"/>
    <n v="50.47"/>
    <s v="Done"/>
    <s v="G3434-61810"/>
  </r>
  <r>
    <s v="009 L00231168 01/13/2023 5003620622 8890A Programmed Pro G3450-61110 C5 0.00 169.24 2.000 EA 338.48"/>
    <x v="15"/>
    <x v="38"/>
    <d v="2023-01-13T00:00:00"/>
    <x v="34"/>
    <n v="338.48"/>
    <n v="2"/>
    <n v="169.24"/>
    <s v="Done"/>
    <s v="G3450-61110"/>
  </r>
  <r>
    <s v="010 L00231168 01/13/2023 5003620622 8890 Analog &amp; Power G3450-61810 C5 0.00 207.56 2.000 EA 415.12"/>
    <x v="15"/>
    <x v="38"/>
    <d v="2023-01-13T00:00:00"/>
    <x v="34"/>
    <n v="415.12"/>
    <n v="2"/>
    <n v="207.56"/>
    <s v="Done"/>
    <s v="G3450-61810"/>
  </r>
  <r>
    <s v="011 L00231168 01/13/2023 5003620622 8890 AC Board Assemb G3450-61820 C5 0.00 23.98 1.000 EA 23.98"/>
    <x v="15"/>
    <x v="38"/>
    <d v="2023-01-13T00:00:00"/>
    <x v="34"/>
    <n v="23.98"/>
    <n v="1"/>
    <n v="23.98"/>
    <s v="Done"/>
    <s v="G3450-61820"/>
  </r>
  <r>
    <s v="012 L00231168 01/13/2023 5003620622 8890E Inlet EPC Boar G3450-61880 C5 0.00 43.98 1.000 EA 43.98"/>
    <x v="15"/>
    <x v="38"/>
    <d v="2023-01-13T00:00:00"/>
    <x v="34"/>
    <n v="43.98"/>
    <n v="1"/>
    <n v="43.98"/>
    <s v="Done"/>
    <s v="G3450-61880"/>
  </r>
  <r>
    <s v="013 L00231168 01/13/2023 5003620622 PCA Pressure Sensor G3581-61010 C5 0.00 28.28 1.000 EA 28.28"/>
    <x v="15"/>
    <x v="38"/>
    <d v="2023-01-13T00:00:00"/>
    <x v="34"/>
    <n v="28.28"/>
    <n v="1"/>
    <n v="28.28"/>
    <s v="Done"/>
    <s v="G3581-61010"/>
  </r>
  <r>
    <s v="014 L00231168 01/13/2023 5003620622 PCA Channel TCD-Cont G3581-61011 C5 0.00 78.45 2.000 EA 156.90"/>
    <x v="15"/>
    <x v="38"/>
    <d v="2023-01-13T00:00:00"/>
    <x v="34"/>
    <n v="156.9"/>
    <n v="2"/>
    <n v="78.45"/>
    <s v="Done"/>
    <s v="G3581-61011"/>
  </r>
  <r>
    <s v="015 L00231168 01/13/2023 5003620622 Micro GC Main Board G3581-65000 C5 0.00 204.55 3.000 EA 613.65"/>
    <x v="15"/>
    <x v="38"/>
    <d v="2023-01-13T00:00:00"/>
    <x v="34"/>
    <n v="613.65"/>
    <n v="3"/>
    <n v="204.54999999999998"/>
    <s v="Done"/>
    <s v="G3581-65000"/>
  </r>
  <r>
    <s v="016 L00231168 01/13/2023 5003620622 7820 FID Electromete G4331-61815 C5 0.00 93.40 1.000 EA 93.40"/>
    <x v="15"/>
    <x v="38"/>
    <d v="2023-01-13T00:00:00"/>
    <x v="34"/>
    <n v="93.4"/>
    <n v="1"/>
    <n v="93.4"/>
    <s v="Done"/>
    <s v="G4331-61815"/>
  </r>
  <r>
    <s v="017 L00231168 01/13/2023 5003620622 Oven Interface PCA G4511-61811 C5 0.00 12.36 2.000 EA 24.72"/>
    <x v="15"/>
    <x v="38"/>
    <d v="2023-01-13T00:00:00"/>
    <x v="34"/>
    <n v="24.72"/>
    <n v="2"/>
    <n v="12.36"/>
    <s v="Done"/>
    <s v="G4511-61811"/>
  </r>
  <r>
    <s v="018 L00231168 01/13/2023 5003620622 Tray Interface PCA G4511-61840 C5 0.00 5.48 1.000 EA 5.48"/>
    <x v="15"/>
    <x v="38"/>
    <d v="2023-01-13T00:00:00"/>
    <x v="34"/>
    <n v="5.48"/>
    <n v="1"/>
    <n v="5.48"/>
    <s v="Done"/>
    <s v="G4511-61840"/>
  </r>
  <r>
    <s v="019 L00231168 01/13/2023 5003620622 Short Y Interface PC G4511-61848 C5 0.00 11.74 2.000 EA 23.48"/>
    <x v="15"/>
    <x v="38"/>
    <d v="2023-01-13T00:00:00"/>
    <x v="34"/>
    <n v="23.48"/>
    <n v="2"/>
    <n v="11.74"/>
    <s v="Done"/>
    <s v="G4511-61848"/>
  </r>
  <r>
    <s v="020 L00231168 01/13/2023 5003620622 rDIB Drive Interface G4514-61812 C5 0.00 4.59 1.000 EA 4.59"/>
    <x v="15"/>
    <x v="38"/>
    <d v="2023-01-13T00:00:00"/>
    <x v="34"/>
    <n v="4.59"/>
    <n v="1"/>
    <n v="4.59"/>
    <s v="Done"/>
    <s v="G4514-61812"/>
  </r>
  <r>
    <s v="021 L00231168 01/13/2023 5003620622 7697 Headspace Motor G4556-61820 C5 0.00 11.01 1.000 EA 11.01"/>
    <x v="15"/>
    <x v="38"/>
    <d v="2023-01-13T00:00:00"/>
    <x v="34"/>
    <n v="11.01"/>
    <n v="1"/>
    <n v="11.01"/>
    <s v="Done"/>
    <s v="G4556-61820"/>
  </r>
  <r>
    <s v="022 L00231168 01/13/2023 5003620622 PCA, Carrier Board G4580-61811 C5 0.00 273.22 3.000 EA 819.66"/>
    <x v="15"/>
    <x v="38"/>
    <d v="2023-01-13T00:00:00"/>
    <x v="34"/>
    <n v="819.66"/>
    <n v="3"/>
    <n v="273.21999999999997"/>
    <s v="Done"/>
    <s v="G4580-61811"/>
  </r>
  <r>
    <s v="023 L00231168 01/13/2023 5003620622 PCA, Inlet Pneumatic G4585-61810 C5 0.00 40.37 1.000 EA 40.37"/>
    <x v="15"/>
    <x v="38"/>
    <d v="2023-01-13T00:00:00"/>
    <x v="34"/>
    <n v="40.369999999999997"/>
    <n v="1"/>
    <n v="40.369999999999997"/>
    <s v="Done"/>
    <s v="G4585-61810"/>
  </r>
  <r>
    <s v="024 L00231168 01/13/2023 5003620622 PCA, Detector Pneuma G4585-61820 C5 0.00 40.56 5.000 EA 202.80"/>
    <x v="15"/>
    <x v="38"/>
    <d v="2023-01-13T00:00:00"/>
    <x v="34"/>
    <n v="202.8"/>
    <n v="5"/>
    <n v="40.56"/>
    <s v="Done"/>
    <s v="G4585-61820"/>
  </r>
  <r>
    <s v="025 L00231168 01/13/2023 5003620622 PCA, Inlet Pneumatic G4585-61810 C5 0.00 45.82 13.000 EA 595.66"/>
    <x v="15"/>
    <x v="38"/>
    <d v="2023-01-13T00:00:00"/>
    <x v="34"/>
    <n v="595.66"/>
    <n v="13"/>
    <n v="45.82"/>
    <s v="Done"/>
    <s v="G4585-61810"/>
  </r>
  <r>
    <s v="001 L00230339 01/12/2023 5003391662 Encoder Interpolator M7300-61011 AU 0.00 64.91 30.000 EA 1,947.30 9027900000"/>
    <x v="18"/>
    <x v="39"/>
    <d v="2023-01-12T00:00:00"/>
    <x v="35"/>
    <n v="1947.3"/>
    <n v="30"/>
    <n v="64.91"/>
    <s v="Done"/>
    <s v="M7300-61011"/>
  </r>
  <r>
    <s v="001 L00230946 01/13/2023 2351663396 7697A Tray Rack G4556-60019 I1 0.00 17.02 12.000 EA 204.24"/>
    <x v="19"/>
    <x v="40"/>
    <d v="2023-01-13T00:00:00"/>
    <x v="36"/>
    <n v="204.24"/>
    <n v="12"/>
    <n v="17.02"/>
    <s v="Done"/>
    <s v="G4556-60019"/>
  </r>
  <r>
    <s v="002 L00231069 01/13/2023 2351668234 Mainboard G4226-65000 I1 0.00 260.35 10.000 EA 2,603.50"/>
    <x v="20"/>
    <x v="41"/>
    <d v="2023-01-13T00:00:00"/>
    <x v="36"/>
    <n v="2603.5"/>
    <n v="10"/>
    <n v="260.35000000000002"/>
    <s v="Done"/>
    <s v="G4226-65000"/>
  </r>
  <r>
    <s v="003 L00230946 01/13/2023 2351675118 Tray Gripper Assembl G2614-60571 I1 0.00 30.25 10.000 EA 302.50"/>
    <x v="19"/>
    <x v="42"/>
    <d v="2023-01-13T00:00:00"/>
    <x v="36"/>
    <n v="302.5"/>
    <n v="10"/>
    <n v="30.25"/>
    <s v="Done"/>
    <s v="G2614-60571"/>
  </r>
  <r>
    <s v="002 L00231187 01/16/2023 5003611213 Water manifold assy G8400-60345 K0 0.00 338.57 41.000 EA 13,881.37"/>
    <x v="21"/>
    <x v="43"/>
    <d v="2023-01-16T00:00:00"/>
    <x v="37"/>
    <n v="13881.37"/>
    <n v="41"/>
    <n v="338.57"/>
    <s v="Done"/>
    <s v="G8400-60345"/>
  </r>
  <r>
    <s v="003 L00231187 01/16/2023 5003611224 P501 processor modul G8400-65853 K0 0.00 99.55 48.000 EA 4,778.40"/>
    <x v="21"/>
    <x v="44"/>
    <d v="2023-01-16T00:00:00"/>
    <x v="37"/>
    <n v="4778.3999999999996"/>
    <n v="48"/>
    <n v="99.55"/>
    <s v="Done"/>
    <s v="G8400-65853"/>
  </r>
  <r>
    <s v="004 L00231187 01/16/2023 5003614304 PCA, Qcard carrier G6301-61048 K0 0.00 319.02 18.000 EA 5,742.36"/>
    <x v="21"/>
    <x v="45"/>
    <d v="2023-01-16T00:00:00"/>
    <x v="37"/>
    <n v="5742.36"/>
    <n v="18"/>
    <n v="319.02"/>
    <s v="Done"/>
    <s v="G6301-61048"/>
  </r>
  <r>
    <s v="005 L00231353 01/16/2023 5003618561 ALS Controller G4350-63529 K0 0.00 85.10 21.000 EA 1,787.10"/>
    <x v="22"/>
    <x v="46"/>
    <d v="2023-01-16T00:00:00"/>
    <x v="37"/>
    <n v="1787.1"/>
    <n v="21"/>
    <n v="85.1"/>
    <s v="Done"/>
    <s v="G4350-63529"/>
  </r>
  <r>
    <s v="006 L00231353 01/16/2023 5003630470 FPD Interface board G3435-61810 K0 0.00 102.18 4.000 EA 408.72"/>
    <x v="22"/>
    <x v="47"/>
    <d v="2023-01-16T00:00:00"/>
    <x v="37"/>
    <n v="408.72"/>
    <n v="4"/>
    <n v="102.18"/>
    <s v="Done"/>
    <s v="G3435-61810"/>
  </r>
  <r>
    <s v="007 L00231187 01/16/2023 5003640603 QP Controller PCA Te G3280-65853 K0 0.00 411.77 32.000 EA 13,176.64"/>
    <x v="21"/>
    <x v="48"/>
    <d v="2023-01-16T00:00:00"/>
    <x v="37"/>
    <n v="13176.64"/>
    <n v="32"/>
    <n v="411.77"/>
    <s v="Done"/>
    <s v="G3280-65853"/>
  </r>
  <r>
    <s v="008 L00231148 01/15/2023 5003642177 Water Flow Meter G3280-60203 K0 0.00 113.92 10.000 EA 1,139.20"/>
    <x v="23"/>
    <x v="49"/>
    <d v="2023-01-15T00:00:00"/>
    <x v="37"/>
    <n v="1139.2"/>
    <n v="10"/>
    <n v="113.92"/>
    <s v="Done"/>
    <s v="G3280-60203"/>
  </r>
  <r>
    <s v="001 L00231188 01/13/2023 5003618674 PCA Channel TCD-Cont G3581-61011 X0 0.00 78.86 4.000 EA 315.44"/>
    <x v="24"/>
    <x v="50"/>
    <d v="2023-01-13T00:00:00"/>
    <x v="38"/>
    <n v="315.44"/>
    <n v="4"/>
    <n v="78.86"/>
    <s v="Done"/>
    <s v="TCD-Cont"/>
  </r>
  <r>
    <s v="001 L00230956 01/13/2023 5003587373 Syr Drive Tensioner G4513-60517 X0 0.00 13.75 2.000 EA 27.50"/>
    <x v="25"/>
    <x v="51"/>
    <d v="2023-01-13T00:00:00"/>
    <x v="39"/>
    <n v="27.5"/>
    <n v="2"/>
    <n v="13.75"/>
    <s v="Done"/>
    <s v="G4513-60517"/>
  </r>
  <r>
    <s v="002 L00231277 01/13/2023 5003642272 P501 processor modul G8400-65853 K0 0.00 99.55 5.000 EA 497.75"/>
    <x v="26"/>
    <x v="52"/>
    <d v="2023-01-13T00:00:00"/>
    <x v="40"/>
    <n v="497.75"/>
    <n v="5"/>
    <n v="99.55"/>
    <s v="Done"/>
    <s v="G8400-65853"/>
  </r>
  <r>
    <s v="001 L00231068 01/17/2023 5003400860 Mainboard Infinity P G4220-65800 X0 0.00 456.51 14.000 EA 6,391.14"/>
    <x v="27"/>
    <x v="53"/>
    <d v="2023-01-17T00:00:00"/>
    <x v="41"/>
    <n v="6391.14"/>
    <n v="14"/>
    <n v="456.51000000000005"/>
    <s v="Done"/>
    <s v="G4220-65800"/>
  </r>
  <r>
    <s v="001 L00230950 01/17/2023 5003605724 Mounting post for 76 G4513-20561 X0 0.00 3.93 30.000 EA 117.90"/>
    <x v="4"/>
    <x v="11"/>
    <d v="2023-01-17T00:00:00"/>
    <x v="42"/>
    <n v="117.9"/>
    <n v="30"/>
    <n v="3.93"/>
    <s v="Done"/>
    <s v="G4513-20561"/>
  </r>
  <r>
    <s v="001 L00230957 01/17/2023 5003614416 Argon flow controlle G3280-67135 X0 0.00 569.52 45.000 EA 25,628.40"/>
    <x v="28"/>
    <x v="54"/>
    <d v="2023-01-17T00:00:00"/>
    <x v="43"/>
    <n v="25628.400000000001"/>
    <n v="45"/>
    <n v="569.52"/>
    <s v="Done"/>
    <s v="G3280-67135"/>
  </r>
  <r>
    <s v="001 L00231254 01/16/2023 5003580407 ALS Interface PCA G3450-61841 K0 0.00 16.45 1.000 EA 16.45"/>
    <x v="29"/>
    <x v="55"/>
    <d v="2023-01-16T00:00:00"/>
    <x v="44"/>
    <n v="16.45"/>
    <n v="1"/>
    <n v="16.45"/>
    <s v="Done"/>
    <s v="G3450-61841"/>
  </r>
  <r>
    <s v="002 L00230890 01/16/2023 5003607370 Analog &amp; Power PCA,8 G3450-61811 K0 0.00 195.08 32.000 EA 6,242.56"/>
    <x v="30"/>
    <x v="56"/>
    <d v="2023-01-16T00:00:00"/>
    <x v="44"/>
    <n v="6242.56"/>
    <n v="32"/>
    <n v="195.08"/>
    <s v="Done"/>
    <s v="G3450-61811"/>
  </r>
  <r>
    <s v="003 L00230890 01/16/2023 5003607370 Lead Free Analog And G3430-61850 K0 0.00 187.75 12.000 EA 2,253.00"/>
    <x v="30"/>
    <x v="56"/>
    <d v="2023-01-16T00:00:00"/>
    <x v="44"/>
    <n v="2253"/>
    <n v="12"/>
    <n v="187.75"/>
    <s v="Done"/>
    <s v="G3430-61850"/>
  </r>
  <r>
    <s v="004 L00230890 01/16/2023 5003607370 FID Electrometer PCA G3431-61815 K0 0.00 70.99 16.000 EA 1,135.84"/>
    <x v="30"/>
    <x v="56"/>
    <d v="2023-01-16T00:00:00"/>
    <x v="44"/>
    <n v="1135.8399999999999"/>
    <n v="16"/>
    <n v="70.989999999999995"/>
    <s v="Done"/>
    <s v="G3431-61815"/>
  </r>
  <r>
    <s v="005 L00231843 01/16/2023 5003611200 RF generator G3280-60360 K0 0.00 2,551.33 8.000 EA 20,410.64"/>
    <x v="31"/>
    <x v="19"/>
    <d v="2023-01-16T00:00:00"/>
    <x v="44"/>
    <n v="20410.64"/>
    <n v="8"/>
    <n v="2551.33"/>
    <s v="Done"/>
    <s v="G3280-60360"/>
  </r>
  <r>
    <s v="006 L00230861 01/16/2023 5003613224 PCA,Grid Plate C (Sh G1996-61104 K0 0.00 13.63 4.000 EA 54.52"/>
    <x v="32"/>
    <x v="57"/>
    <d v="2023-01-16T00:00:00"/>
    <x v="44"/>
    <n v="54.52"/>
    <n v="4"/>
    <n v="13.63"/>
    <s v="Done"/>
    <s v="G1996-61104"/>
  </r>
  <r>
    <s v="007 L00230861 01/16/2023 5003614326 PCA, PMT Board, Scan G4900-61821 K0 0.00 656.91 9.000 EA 5,912.19"/>
    <x v="32"/>
    <x v="58"/>
    <d v="2023-01-16T00:00:00"/>
    <x v="44"/>
    <n v="5912.19"/>
    <n v="9"/>
    <n v="656.91"/>
    <s v="Done"/>
    <s v="G4900-61821"/>
  </r>
  <r>
    <s v="008 L00230861 01/16/2023 5003614340 PCA, PLX with Serial G2581-61202 K0 0.00 403.78 34.000 EA 13,728.52"/>
    <x v="32"/>
    <x v="59"/>
    <d v="2023-01-16T00:00:00"/>
    <x v="44"/>
    <n v="13728.52"/>
    <n v="34"/>
    <n v="403.78000000000003"/>
    <s v="Done"/>
    <s v="G2581-61202"/>
  </r>
  <r>
    <s v="009 L00230861 01/16/2023 5003614365 Ar EPC-I PCA - Teste G8400-65811 K0 0.00 189.64 30.000 EA 5,689.20"/>
    <x v="32"/>
    <x v="60"/>
    <d v="2023-01-16T00:00:00"/>
    <x v="44"/>
    <n v="5689.2"/>
    <n v="30"/>
    <n v="189.64"/>
    <s v="Done"/>
    <s v="PCA"/>
  </r>
  <r>
    <s v="010 L00231254 01/16/2023 5003615337 8890 AC Board Assemb G3450-61820 K0 0.00 27.90 4.000 EA 111.60"/>
    <x v="29"/>
    <x v="61"/>
    <d v="2023-01-16T00:00:00"/>
    <x v="44"/>
    <n v="111.6"/>
    <n v="4"/>
    <n v="27.9"/>
    <s v="Done"/>
    <s v="G3450-61820"/>
  </r>
  <r>
    <s v="011 L00231254 01/16/2023 5003618561 Touchscreen Assy,886 G3450-60573 K0 0.00 92.32 10.000 EA 923.20"/>
    <x v="29"/>
    <x v="46"/>
    <d v="2023-01-16T00:00:00"/>
    <x v="44"/>
    <n v="923.2"/>
    <n v="10"/>
    <n v="92.320000000000007"/>
    <s v="Done"/>
    <s v="G3450-60573"/>
  </r>
  <r>
    <s v="012 L00231254 01/16/2023 5003618561 Touchscreen Assy,886 G3450-60573 K0 0.00 92.32 5.000 EA 461.60"/>
    <x v="29"/>
    <x v="46"/>
    <d v="2023-01-16T00:00:00"/>
    <x v="44"/>
    <n v="461.6"/>
    <n v="5"/>
    <n v="92.320000000000007"/>
    <s v="Done"/>
    <s v="G3450-60573"/>
  </r>
  <r>
    <s v="013 L00230861 01/16/2023 5003619217 PCA, PMT Board, Scan G4900-61821 K0 0.00 656.91 3.000 EA 1,970.73"/>
    <x v="32"/>
    <x v="62"/>
    <d v="2023-01-16T00:00:00"/>
    <x v="44"/>
    <n v="1970.73"/>
    <n v="3"/>
    <n v="656.91"/>
    <s v="Done"/>
    <s v="G4900-61821"/>
  </r>
  <r>
    <s v="014 L00230861 01/16/2023 5003619256 4.0 GHz Acquisition G1969-61204 K0 0.00 1,995.64 1.000 EA 1,995.64"/>
    <x v="32"/>
    <x v="63"/>
    <d v="2023-01-16T00:00:00"/>
    <x v="44"/>
    <n v="1995.64"/>
    <n v="1"/>
    <n v="1995.64"/>
    <s v="Done"/>
    <s v="G1969-61204"/>
  </r>
  <r>
    <s v="015 L00231254 01/16/2023 5003627825 Lead Free Logic Boar G3430-61820 K0 0.00 99.89 48.000 EA 4,794.72"/>
    <x v="29"/>
    <x v="64"/>
    <d v="2023-01-16T00:00:00"/>
    <x v="44"/>
    <n v="4794.72"/>
    <n v="48"/>
    <n v="99.89"/>
    <s v="Done"/>
    <s v="G3430-61820"/>
  </r>
  <r>
    <s v="001 L00231252 01/16/2023 5003554346 FID Detector W/ Igni G4591-61822 K0 0.00 46.54 1.000 EA 46.54"/>
    <x v="33"/>
    <x v="65"/>
    <d v="2023-01-16T00:00:00"/>
    <x v="45"/>
    <n v="46.54"/>
    <n v="1"/>
    <n v="46.54"/>
    <s v="Done"/>
    <s v="G4591-61822"/>
  </r>
  <r>
    <s v="001 L00231252 01/16/2023 5003557853 FID Detector W/ Igni G4591-61822 K0 0.00 46.54 1.000 EA 46.54"/>
    <x v="33"/>
    <x v="66"/>
    <d v="2023-01-16T00:00:00"/>
    <x v="46"/>
    <n v="46.54"/>
    <n v="1"/>
    <n v="46.54"/>
    <s v="Done"/>
    <s v="G4591-61822"/>
  </r>
  <r>
    <s v="001 L00231252 01/16/2023 5003560802 FID Detector W/ Igni G4591-61822 K0 0.00 46.54 1.000 EA 46.54"/>
    <x v="33"/>
    <x v="67"/>
    <d v="2023-01-16T00:00:00"/>
    <x v="47"/>
    <n v="46.54"/>
    <n v="1"/>
    <n v="46.54"/>
    <s v="Done"/>
    <s v="G4591-61822"/>
  </r>
  <r>
    <s v="001 L00230890 01/16/2023 5003584040 FID Detector W/ Igni G4591-61822 K0 0.00 46.54 9.000 EA 418.86"/>
    <x v="30"/>
    <x v="68"/>
    <d v="2023-01-16T00:00:00"/>
    <x v="48"/>
    <n v="418.86"/>
    <n v="9"/>
    <n v="46.54"/>
    <s v="Done"/>
    <s v="G4591-61822"/>
  </r>
  <r>
    <s v="001 L00230890 01/16/2023 5003585682 FID Detector W/ Igni G4591-61822 K0 0.00 46.54 1.000 EA 46.54"/>
    <x v="30"/>
    <x v="69"/>
    <d v="2023-01-16T00:00:00"/>
    <x v="49"/>
    <n v="46.54"/>
    <n v="1"/>
    <n v="46.54"/>
    <s v="Done"/>
    <s v="G4591-61822"/>
  </r>
  <r>
    <s v="001 L00230890 01/16/2023 5003592236 FID Detector W/ Igni G4591-61822 K0 0.00 46.54 2.000 EA 93.08"/>
    <x v="30"/>
    <x v="70"/>
    <d v="2023-01-16T00:00:00"/>
    <x v="50"/>
    <n v="93.08"/>
    <n v="2"/>
    <n v="46.54"/>
    <s v="Done"/>
    <s v="G4591-61822"/>
  </r>
  <r>
    <s v="001 L00230890 01/16/2023 5003593662 FID Detector W/ Igni G4591-61822 K0 0.00 46.54 1.000 EA 46.54"/>
    <x v="30"/>
    <x v="71"/>
    <d v="2023-01-16T00:00:00"/>
    <x v="51"/>
    <n v="46.54"/>
    <n v="1"/>
    <n v="46.54"/>
    <s v="Done"/>
    <s v="G4591-61822"/>
  </r>
  <r>
    <s v="001 L00230890 01/16/2023 5003598213 FID Detector W/ Igni G4591-61822 K0 0.00 46.54 1.000 EA 46.54"/>
    <x v="30"/>
    <x v="72"/>
    <d v="2023-01-16T00:00:00"/>
    <x v="52"/>
    <n v="46.54"/>
    <n v="1"/>
    <n v="46.54"/>
    <s v="Done"/>
    <s v="G4591-61822"/>
  </r>
  <r>
    <s v="001 L00230890 01/16/2023 5003605239 FID Detector W/ Igni G4591-61822 K0 0.00 46.54 1.000 EA 46.54"/>
    <x v="30"/>
    <x v="73"/>
    <d v="2023-01-16T00:00:00"/>
    <x v="53"/>
    <n v="46.54"/>
    <n v="1"/>
    <n v="46.54"/>
    <s v="Done"/>
    <s v="G4591-61822"/>
  </r>
  <r>
    <s v="001 L00231252 01/16/2023 5003607373 Control PCA G4511-61821 K0 0.00 241.51 1.000 EA 241.51"/>
    <x v="33"/>
    <x v="74"/>
    <d v="2023-01-16T00:00:00"/>
    <x v="54"/>
    <n v="241.51"/>
    <n v="1"/>
    <n v="241.51"/>
    <s v="Done"/>
    <s v="G4511-61821"/>
  </r>
  <r>
    <s v="002 L00230890 01/16/2023 5003607373 FID Detector W/ Igni G4591-61822 K0 0.00 46.54 7.000 EA 325.78"/>
    <x v="30"/>
    <x v="74"/>
    <d v="2023-01-16T00:00:00"/>
    <x v="54"/>
    <n v="325.77999999999997"/>
    <n v="7"/>
    <n v="46.54"/>
    <s v="Done"/>
    <s v="G4591-61822"/>
  </r>
  <r>
    <s v="003 L00231252 01/16/2023 5003607373 7697A Logic Board Su G4556-67101 K0 0.00 118.22 32.000 EA 3,783.04"/>
    <x v="33"/>
    <x v="74"/>
    <d v="2023-01-16T00:00:00"/>
    <x v="54"/>
    <n v="3783.04"/>
    <n v="32"/>
    <n v="118.22"/>
    <s v="Done"/>
    <s v="G4556-67101"/>
  </r>
  <r>
    <s v="001 L00231455 01/17/2023 2351575136 8890 PCA ECD Electro G3450-61883 I1 0.00 72.19 14.000 EA 1,010.66"/>
    <x v="34"/>
    <x v="75"/>
    <d v="2023-01-17T00:00:00"/>
    <x v="55"/>
    <n v="1010.66"/>
    <n v="14"/>
    <n v="72.19"/>
    <s v="Done"/>
    <s v="G3450-61883"/>
  </r>
  <r>
    <s v="002 L00231455 01/17/2023 2351647528 XCD Controller PCA A G3488-61820 I1 0.00 193.08 2.000 EA 386.16"/>
    <x v="34"/>
    <x v="76"/>
    <d v="2023-01-17T00:00:00"/>
    <x v="55"/>
    <n v="386.16"/>
    <n v="2"/>
    <n v="193.08"/>
    <s v="Done"/>
    <s v="G3488-61820"/>
  </r>
  <r>
    <s v="003 L00231510 01/17/2023 2351649162 PCA, Lower Separatio G4580-61851 I1 0.00 15.69 9.000 EA 141.21"/>
    <x v="35"/>
    <x v="77"/>
    <d v="2023-01-17T00:00:00"/>
    <x v="55"/>
    <n v="141.21"/>
    <n v="9"/>
    <n v="15.690000000000001"/>
    <s v="Done"/>
    <s v="G4580-61851"/>
  </r>
  <r>
    <s v="004 L00231510 01/17/2023 2351649162 XCD Electrometer Ass G3488-61830 I1 0.00 39.40 20.000 EA 788.00"/>
    <x v="35"/>
    <x v="77"/>
    <d v="2023-01-17T00:00:00"/>
    <x v="55"/>
    <n v="788"/>
    <n v="20"/>
    <n v="39.4"/>
    <s v="Done"/>
    <s v="G3488-61830"/>
  </r>
  <r>
    <s v="005 L00231455 01/17/2023 2351663395 XCD Controller PCA A G3488-61820 I1 0.00 193.08 1.000 EA 193.08"/>
    <x v="34"/>
    <x v="78"/>
    <d v="2023-01-17T00:00:00"/>
    <x v="55"/>
    <n v="193.08"/>
    <n v="1"/>
    <n v="193.08"/>
    <s v="Done"/>
    <s v="G3488-61820"/>
  </r>
  <r>
    <s v="006 L00231314 01/17/2023 2351663940 Detector Feedthru PC G7000-61013 I1 0.00 9.78 144.000 EA 1,408.32"/>
    <x v="36"/>
    <x v="79"/>
    <d v="2023-01-17T00:00:00"/>
    <x v="55"/>
    <n v="1408.32"/>
    <n v="144"/>
    <n v="9.7799999999999994"/>
    <s v="Done"/>
    <s v="G7000-61013"/>
  </r>
  <r>
    <s v="007 L00231314 01/17/2023 2351664191 Switch PCA G7000-61110 I1 0.00 11.66 96.000 EA 1,119.36"/>
    <x v="36"/>
    <x v="80"/>
    <d v="2023-01-17T00:00:00"/>
    <x v="55"/>
    <n v="1119.3599999999999"/>
    <n v="96"/>
    <n v="11.659999999999998"/>
    <s v="Done"/>
    <s v="G7000-61110"/>
  </r>
  <r>
    <s v="008 L00230888 01/17/2023 2351665188 Analog Input PCA G3456-61810 I1 0.00 47.92 3.000 EA 143.76"/>
    <x v="37"/>
    <x v="81"/>
    <d v="2023-01-17T00:00:00"/>
    <x v="55"/>
    <n v="143.76"/>
    <n v="3"/>
    <n v="47.919999999999995"/>
    <s v="Done"/>
    <s v="G3456-61810"/>
  </r>
  <r>
    <s v="009 L00231548 01/17/2023 2351669094 Key Board Assembly G3430-60555 I1 0.00 144.79 6.000 EA 868.74"/>
    <x v="38"/>
    <x v="82"/>
    <d v="2023-01-17T00:00:00"/>
    <x v="55"/>
    <n v="868.74"/>
    <n v="6"/>
    <n v="144.79"/>
    <s v="Done"/>
    <s v="G3430-60555"/>
  </r>
  <r>
    <s v="010 L00231548 01/17/2023 2351669094 Key Board Assembly G3430-60555 I1 0.00 144.79 1.000 EA 144.79"/>
    <x v="38"/>
    <x v="82"/>
    <d v="2023-01-17T00:00:00"/>
    <x v="55"/>
    <n v="144.79"/>
    <n v="1"/>
    <n v="144.79"/>
    <s v="Done"/>
    <s v="G3430-60555"/>
  </r>
  <r>
    <s v="011 L00230888 01/17/2023 2351671007 FID Electrometer PCA G3431-61815 I1 0.00 70.99 16.000 EA 1,135.84"/>
    <x v="37"/>
    <x v="83"/>
    <d v="2023-01-17T00:00:00"/>
    <x v="55"/>
    <n v="1135.8399999999999"/>
    <n v="16"/>
    <n v="70.989999999999995"/>
    <s v="Done"/>
    <s v="G3431-61815"/>
  </r>
  <r>
    <s v="012 L00231510 01/17/2023 2351671791 Tray Interface PCA G4511-61840 I1 0.00 5.68 30.000 EA 170.40"/>
    <x v="35"/>
    <x v="84"/>
    <d v="2023-01-17T00:00:00"/>
    <x v="55"/>
    <n v="170.4"/>
    <n v="30"/>
    <n v="5.6800000000000006"/>
    <s v="Done"/>
    <s v="G4511-61840"/>
  </r>
  <r>
    <s v="013 L00231510 01/17/2023 2351671791 PCA, NPD Interface B G4594-61820 I1 0.00 100.53 20.000 EA 2,010.60"/>
    <x v="35"/>
    <x v="84"/>
    <d v="2023-01-17T00:00:00"/>
    <x v="55"/>
    <n v="2010.6"/>
    <n v="20"/>
    <n v="100.53"/>
    <s v="Done"/>
    <s v="G4594-61820"/>
  </r>
  <r>
    <s v="014 L00231798 01/17/2023 2351671793 FID Signal Board G1531-60010 I1 0.00 144.56 30.000 EA 4,336.80"/>
    <x v="39"/>
    <x v="85"/>
    <d v="2023-01-17T00:00:00"/>
    <x v="55"/>
    <n v="4336.8"/>
    <n v="30"/>
    <n v="144.56"/>
    <s v="Done"/>
    <s v="G1531-60010"/>
  </r>
  <r>
    <s v="015 L00231455 01/17/2023 2351671793 XCD Controller PCA A G3488-61820 I1 0.00 193.08 1.000 EA 193.08"/>
    <x v="34"/>
    <x v="85"/>
    <d v="2023-01-17T00:00:00"/>
    <x v="55"/>
    <n v="193.08"/>
    <n v="1"/>
    <n v="193.08"/>
    <s v="Done"/>
    <s v="G3488-61820"/>
  </r>
  <r>
    <s v="016 L00231455 01/17/2023 2351671793 Analog &amp; Power PCA,8 G3450-61811 I1 0.00 195.08 10.000 EA 1,950.80"/>
    <x v="34"/>
    <x v="85"/>
    <d v="2023-01-17T00:00:00"/>
    <x v="55"/>
    <n v="1950.8"/>
    <n v="10"/>
    <n v="195.07999999999998"/>
    <s v="Done"/>
    <s v="G3450-61811"/>
  </r>
  <r>
    <s v="017 L00230888 01/17/2023 2351671793 7890B Logic Board Wi G3430-61110 I1 0.00 102.07 26.000 EA 2,653.82"/>
    <x v="37"/>
    <x v="85"/>
    <d v="2023-01-17T00:00:00"/>
    <x v="55"/>
    <n v="2653.82"/>
    <n v="26"/>
    <n v="102.07000000000001"/>
    <s v="Done"/>
    <s v="G3430-61110"/>
  </r>
  <r>
    <s v="018 L00231455 01/17/2023 2351671793 PCA, Carrier Board G4580-61811 I1 0.00 280.19 3.000 EA 840.57"/>
    <x v="34"/>
    <x v="85"/>
    <d v="2023-01-17T00:00:00"/>
    <x v="55"/>
    <n v="840.57"/>
    <n v="3"/>
    <n v="280.19"/>
    <s v="Done"/>
    <s v="G4580-61811"/>
  </r>
  <r>
    <s v="019 L00231510 01/17/2023 2351677263 Short Y Interface PC G4511-61848 I1 0.00 11.74 20.000 EA 234.80"/>
    <x v="35"/>
    <x v="86"/>
    <d v="2023-01-17T00:00:00"/>
    <x v="55"/>
    <n v="234.8"/>
    <n v="20"/>
    <n v="11.74"/>
    <s v="Done"/>
    <s v="G4511-61848"/>
  </r>
  <r>
    <s v="002 L00231268 01/17/2023 2351667820 G4514A Tray Refrofit G4514-68000 I1 0.00 50.36 3.000 EA 151.08"/>
    <x v="40"/>
    <x v="87"/>
    <d v="2023-01-17T00:00:00"/>
    <x v="56"/>
    <n v="151.08000000000001"/>
    <n v="3"/>
    <n v="50.360000000000007"/>
    <s v="Done"/>
    <s v="G4514-68000"/>
  </r>
  <r>
    <s v="003 L00230888 01/17/2023 2351671008 7820 Lead Free Logic G4350-61820 I1 0.00 99.98 6.000 EA 599.88"/>
    <x v="37"/>
    <x v="88"/>
    <d v="2023-01-17T00:00:00"/>
    <x v="56"/>
    <n v="599.88"/>
    <n v="6"/>
    <n v="99.98"/>
    <s v="Done"/>
    <s v="G4350-61820"/>
  </r>
  <r>
    <s v="004 L00230888 01/17/2023 2351671796 FID Detector W/ Igni G4591-61822 I1 0.00 46.54 96.000 EA 4,467.84"/>
    <x v="37"/>
    <x v="89"/>
    <d v="2023-01-17T00:00:00"/>
    <x v="56"/>
    <n v="4467.84"/>
    <n v="96"/>
    <n v="46.54"/>
    <s v="Done"/>
    <s v="G4591-61822"/>
  </r>
  <r>
    <s v="005 L00230888 01/17/2023 2351671796 FID Detector W/ Igni G4591-61822 I1 0.00 46.54 17.000 EA 791.18"/>
    <x v="37"/>
    <x v="89"/>
    <d v="2023-01-17T00:00:00"/>
    <x v="56"/>
    <n v="791.18"/>
    <n v="17"/>
    <n v="46.54"/>
    <s v="Done"/>
    <s v="G4591-61822"/>
  </r>
  <r>
    <s v="007 L00231420 01/17/2023 2351678640 Gantry Module Assemb G4556-67911 I1 0.00 204.19 13.000 EA 2,654.47"/>
    <x v="41"/>
    <x v="90"/>
    <d v="2023-01-17T00:00:00"/>
    <x v="56"/>
    <n v="2654.47"/>
    <n v="13"/>
    <n v="204.19"/>
    <s v="Done"/>
    <s v="G4556-67911"/>
  </r>
  <r>
    <s v="001 L00231643 01/17/2023 5003603516 111 Vial Model Tray G4556-64014 C5 0.00 1,043.19 16.000 EA 16,691.04"/>
    <x v="42"/>
    <x v="91"/>
    <d v="2023-01-17T00:00:00"/>
    <x v="57"/>
    <n v="16691.04"/>
    <n v="16"/>
    <n v="1043.19"/>
    <s v="Done"/>
    <s v="G4556-64014"/>
  </r>
  <r>
    <s v="002 L00231368 01/17/2023 5003606166 Mainframe Assembly i G3450-60588 C5 0.00 1,388.88 76.000 EA 105,554.88"/>
    <x v="43"/>
    <x v="34"/>
    <d v="2023-01-17T00:00:00"/>
    <x v="57"/>
    <n v="105554.88"/>
    <n v="76"/>
    <n v="1388.88"/>
    <s v="Done"/>
    <s v="G3450-60588"/>
  </r>
  <r>
    <s v="003 L00231368 01/17/2023 5003606166 Nexus E MF Assy 220V G3450-60956 C5 0.00 1,195.80 32.000 EA 38,265.60"/>
    <x v="43"/>
    <x v="34"/>
    <d v="2023-01-17T00:00:00"/>
    <x v="57"/>
    <n v="38265.599999999999"/>
    <n v="32"/>
    <n v="1195.8"/>
    <s v="Done"/>
    <s v="G3450-60956"/>
  </r>
  <r>
    <s v="004 L00231643 01/17/2023 5003631183 7650A Injector G4567-64000 C5 0.00 1,195.05 24.000 EA 28,681.20"/>
    <x v="42"/>
    <x v="92"/>
    <d v="2023-01-17T00:00:00"/>
    <x v="57"/>
    <n v="28681.200000000001"/>
    <n v="24"/>
    <n v="1195.05"/>
    <s v="Done"/>
    <s v="G4567-64000"/>
  </r>
  <r>
    <s v="005 L00231643 01/17/2023 5003644767 G4514A Tray (COO-CN) G4514-64000 C5 0.00 1,127.15 24.000 EA 27,051.60"/>
    <x v="42"/>
    <x v="93"/>
    <d v="2023-01-17T00:00:00"/>
    <x v="57"/>
    <n v="27051.599999999999"/>
    <n v="24"/>
    <n v="1127.1499999999999"/>
    <s v="Done"/>
    <s v="G4514-6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C18910-A402-4BC7-9AFD-87B74CCD8B94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1" firstHeaderRow="1" firstDataRow="1" firstDataCol="1"/>
  <pivotFields count="12">
    <pivotField axis="axisRow" showAll="0">
      <items count="68">
        <item x="40"/>
        <item x="41"/>
        <item x="39"/>
        <item x="45"/>
        <item x="44"/>
        <item x="46"/>
        <item x="42"/>
        <item x="0"/>
        <item x="1"/>
        <item x="2"/>
        <item x="3"/>
        <item x="4"/>
        <item x="43"/>
        <item x="65"/>
        <item x="66"/>
        <item x="64"/>
        <item x="47"/>
        <item x="51"/>
        <item x="52"/>
        <item x="53"/>
        <item x="54"/>
        <item x="55"/>
        <item x="56"/>
        <item x="57"/>
        <item x="58"/>
        <item x="59"/>
        <item x="48"/>
        <item x="60"/>
        <item x="49"/>
        <item x="50"/>
        <item x="61"/>
        <item x="62"/>
        <item x="63"/>
        <item x="5"/>
        <item x="6"/>
        <item x="7"/>
        <item x="25"/>
        <item x="8"/>
        <item x="9"/>
        <item x="10"/>
        <item x="26"/>
        <item x="11"/>
        <item x="12"/>
        <item x="13"/>
        <item x="14"/>
        <item x="15"/>
        <item x="16"/>
        <item x="27"/>
        <item x="24"/>
        <item x="17"/>
        <item x="18"/>
        <item x="19"/>
        <item x="20"/>
        <item x="21"/>
        <item x="22"/>
        <item x="23"/>
        <item x="36"/>
        <item x="37"/>
        <item x="28"/>
        <item x="29"/>
        <item x="38"/>
        <item x="30"/>
        <item x="31"/>
        <item x="32"/>
        <item x="33"/>
        <item x="34"/>
        <item x="35"/>
        <item t="default"/>
      </items>
    </pivotField>
    <pivotField showAll="0"/>
    <pivotField showAll="0"/>
    <pivotField showAll="0"/>
    <pivotField numFmtId="15" showAll="0"/>
    <pivotField showAll="0"/>
    <pivotField showAll="0"/>
    <pivotField numFmtId="4" showAll="0"/>
    <pivotField numFmtId="165" showAll="0"/>
    <pivotField dataField="1" numFmtId="4" showAll="0"/>
    <pivotField numFmtId="164" showAll="0"/>
    <pivotField numFmtId="15" showAll="0"/>
  </pivotFields>
  <rowFields count="1">
    <field x="0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Items count="1">
    <i/>
  </colItems>
  <dataFields count="1">
    <dataField name="Sum of Line Amount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29E5ED-06F6-413C-98A6-399509882229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1:D104" firstHeaderRow="1" firstDataRow="1" firstDataCol="3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8"/>
        <item x="8"/>
        <item x="32"/>
        <item x="2"/>
        <item x="37"/>
        <item x="30"/>
        <item x="11"/>
        <item x="19"/>
        <item x="3"/>
        <item x="4"/>
        <item x="7"/>
        <item x="25"/>
        <item x="28"/>
        <item x="9"/>
        <item x="0"/>
        <item x="27"/>
        <item x="20"/>
        <item x="23"/>
        <item x="15"/>
        <item x="21"/>
        <item x="24"/>
        <item x="33"/>
        <item x="29"/>
        <item x="40"/>
        <item x="13"/>
        <item x="26"/>
        <item x="12"/>
        <item x="36"/>
        <item x="22"/>
        <item x="16"/>
        <item x="17"/>
        <item x="14"/>
        <item x="43"/>
        <item x="10"/>
        <item x="1"/>
        <item x="41"/>
        <item x="34"/>
        <item x="35"/>
        <item x="38"/>
        <item x="5"/>
        <item x="42"/>
        <item x="6"/>
        <item x="39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94">
        <item x="75"/>
        <item x="31"/>
        <item x="32"/>
        <item x="27"/>
        <item x="76"/>
        <item x="33"/>
        <item x="28"/>
        <item x="77"/>
        <item x="78"/>
        <item x="40"/>
        <item x="79"/>
        <item x="80"/>
        <item x="81"/>
        <item x="29"/>
        <item x="87"/>
        <item x="41"/>
        <item x="82"/>
        <item x="83"/>
        <item x="88"/>
        <item x="84"/>
        <item x="85"/>
        <item x="89"/>
        <item x="42"/>
        <item x="30"/>
        <item x="86"/>
        <item x="90"/>
        <item x="39"/>
        <item x="53"/>
        <item x="5"/>
        <item x="6"/>
        <item x="17"/>
        <item x="18"/>
        <item x="7"/>
        <item x="0"/>
        <item x="24"/>
        <item x="65"/>
        <item x="8"/>
        <item x="66"/>
        <item x="67"/>
        <item x="1"/>
        <item x="9"/>
        <item x="10"/>
        <item x="55"/>
        <item x="68"/>
        <item x="69"/>
        <item x="51"/>
        <item x="25"/>
        <item x="70"/>
        <item x="71"/>
        <item x="72"/>
        <item x="2"/>
        <item x="91"/>
        <item x="3"/>
        <item x="73"/>
        <item x="11"/>
        <item x="34"/>
        <item x="56"/>
        <item x="74"/>
        <item x="12"/>
        <item x="19"/>
        <item x="43"/>
        <item x="44"/>
        <item x="57"/>
        <item x="13"/>
        <item x="35"/>
        <item x="45"/>
        <item x="58"/>
        <item x="59"/>
        <item x="60"/>
        <item x="54"/>
        <item x="20"/>
        <item x="21"/>
        <item x="61"/>
        <item x="46"/>
        <item x="36"/>
        <item x="50"/>
        <item x="37"/>
        <item x="62"/>
        <item x="63"/>
        <item x="38"/>
        <item x="14"/>
        <item x="15"/>
        <item x="16"/>
        <item x="26"/>
        <item x="64"/>
        <item x="47"/>
        <item x="92"/>
        <item x="22"/>
        <item x="23"/>
        <item x="4"/>
        <item x="48"/>
        <item x="49"/>
        <item x="52"/>
        <item x="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x="35"/>
        <item x="34"/>
        <item x="39"/>
        <item x="38"/>
        <item x="40"/>
        <item x="36"/>
        <item x="0"/>
        <item x="1"/>
        <item x="2"/>
        <item x="3"/>
        <item x="4"/>
        <item x="37"/>
        <item x="57"/>
        <item x="41"/>
        <item x="45"/>
        <item x="46"/>
        <item x="47"/>
        <item x="48"/>
        <item x="49"/>
        <item x="50"/>
        <item x="51"/>
        <item x="52"/>
        <item x="53"/>
        <item x="42"/>
        <item x="54"/>
        <item x="43"/>
        <item x="44"/>
        <item x="55"/>
        <item x="56"/>
        <item x="5"/>
        <item x="6"/>
        <item x="7"/>
        <item x="24"/>
        <item x="8"/>
        <item x="9"/>
        <item x="10"/>
        <item x="25"/>
        <item x="11"/>
        <item x="12"/>
        <item x="13"/>
        <item x="14"/>
        <item x="15"/>
        <item x="16"/>
        <item x="26"/>
        <item x="23"/>
        <item x="17"/>
        <item x="18"/>
        <item x="19"/>
        <item x="20"/>
        <item x="21"/>
        <item x="22"/>
        <item x="31"/>
        <item x="32"/>
        <item x="27"/>
        <item x="33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4"/>
  </rowFields>
  <rowItems count="103">
    <i>
      <x/>
      <x v="26"/>
      <x/>
    </i>
    <i>
      <x v="1"/>
      <x v="87"/>
      <x v="50"/>
    </i>
    <i>
      <x v="2"/>
      <x v="62"/>
      <x v="26"/>
    </i>
    <i r="1">
      <x v="66"/>
      <x v="26"/>
    </i>
    <i r="1">
      <x v="67"/>
      <x v="26"/>
    </i>
    <i r="1">
      <x v="68"/>
      <x v="26"/>
    </i>
    <i r="1">
      <x v="77"/>
      <x v="26"/>
    </i>
    <i r="1">
      <x v="78"/>
      <x v="26"/>
    </i>
    <i>
      <x v="3"/>
      <x v="28"/>
      <x v="29"/>
    </i>
    <i r="1">
      <x v="34"/>
      <x v="32"/>
    </i>
    <i r="1">
      <x v="46"/>
      <x v="36"/>
    </i>
    <i r="1">
      <x v="63"/>
      <x v="39"/>
    </i>
    <i r="1">
      <x v="80"/>
      <x v="40"/>
    </i>
    <i r="1">
      <x v="81"/>
      <x v="41"/>
    </i>
    <i r="1">
      <x v="82"/>
      <x v="42"/>
    </i>
    <i>
      <x v="4"/>
      <x v="12"/>
      <x v="27"/>
    </i>
    <i r="1">
      <x v="17"/>
      <x v="27"/>
    </i>
    <i r="1">
      <x v="18"/>
      <x v="28"/>
    </i>
    <i r="1">
      <x v="20"/>
      <x v="27"/>
    </i>
    <i r="1">
      <x v="21"/>
      <x v="28"/>
    </i>
    <i>
      <x v="5"/>
      <x v="43"/>
      <x v="17"/>
    </i>
    <i r="1">
      <x v="44"/>
      <x v="18"/>
    </i>
    <i r="1">
      <x v="47"/>
      <x v="19"/>
    </i>
    <i r="1">
      <x v="48"/>
      <x v="20"/>
    </i>
    <i r="1">
      <x v="49"/>
      <x v="21"/>
    </i>
    <i r="1">
      <x v="53"/>
      <x v="22"/>
    </i>
    <i r="1">
      <x v="56"/>
      <x v="26"/>
    </i>
    <i r="1">
      <x v="57"/>
      <x v="24"/>
    </i>
    <i>
      <x v="6"/>
      <x v="3"/>
      <x v="53"/>
    </i>
    <i r="1">
      <x v="6"/>
      <x v="55"/>
    </i>
    <i r="1">
      <x v="23"/>
      <x v="57"/>
    </i>
    <i>
      <x v="7"/>
      <x v="9"/>
      <x v="5"/>
    </i>
    <i r="1">
      <x v="22"/>
      <x v="5"/>
    </i>
    <i>
      <x v="8"/>
      <x v="29"/>
      <x v="30"/>
    </i>
    <i>
      <x v="9"/>
      <x v="32"/>
      <x v="31"/>
    </i>
    <i r="1">
      <x v="36"/>
      <x v="33"/>
    </i>
    <i r="1">
      <x v="40"/>
      <x v="34"/>
    </i>
    <i r="1">
      <x v="41"/>
      <x v="35"/>
    </i>
    <i r="1">
      <x v="54"/>
      <x v="23"/>
    </i>
    <i r="2">
      <x v="37"/>
    </i>
    <i r="1">
      <x v="58"/>
      <x v="38"/>
    </i>
    <i>
      <x v="10"/>
      <x v="70"/>
      <x v="48"/>
    </i>
    <i r="1">
      <x v="71"/>
      <x v="49"/>
    </i>
    <i>
      <x v="11"/>
      <x v="45"/>
      <x v="2"/>
    </i>
    <i>
      <x v="12"/>
      <x v="69"/>
      <x v="25"/>
    </i>
    <i>
      <x v="13"/>
      <x v="88"/>
      <x v="44"/>
    </i>
    <i>
      <x v="14"/>
      <x v="33"/>
      <x v="6"/>
    </i>
    <i r="1">
      <x v="39"/>
      <x v="7"/>
    </i>
    <i r="1">
      <x v="89"/>
      <x v="10"/>
    </i>
    <i>
      <x v="15"/>
      <x v="27"/>
      <x v="13"/>
    </i>
    <i>
      <x v="16"/>
      <x v="15"/>
      <x v="5"/>
    </i>
    <i>
      <x v="17"/>
      <x v="91"/>
      <x v="11"/>
    </i>
    <i>
      <x v="18"/>
      <x v="64"/>
      <x v="1"/>
    </i>
    <i r="1">
      <x v="79"/>
      <x v="1"/>
    </i>
    <i>
      <x v="19"/>
      <x v="60"/>
      <x v="11"/>
    </i>
    <i r="1">
      <x v="61"/>
      <x v="11"/>
    </i>
    <i r="1">
      <x v="65"/>
      <x v="11"/>
    </i>
    <i r="1">
      <x v="90"/>
      <x v="11"/>
    </i>
    <i>
      <x v="20"/>
      <x v="75"/>
      <x v="3"/>
    </i>
    <i>
      <x v="21"/>
      <x v="35"/>
      <x v="14"/>
    </i>
    <i r="1">
      <x v="37"/>
      <x v="15"/>
    </i>
    <i r="1">
      <x v="38"/>
      <x v="16"/>
    </i>
    <i r="1">
      <x v="57"/>
      <x v="24"/>
    </i>
    <i>
      <x v="22"/>
      <x v="42"/>
      <x v="26"/>
    </i>
    <i r="1">
      <x v="72"/>
      <x v="26"/>
    </i>
    <i r="1">
      <x v="73"/>
      <x v="26"/>
    </i>
    <i r="1">
      <x v="84"/>
      <x v="26"/>
    </i>
    <i>
      <x v="23"/>
      <x v="14"/>
      <x v="28"/>
    </i>
    <i>
      <x v="24"/>
      <x v="1"/>
      <x v="51"/>
    </i>
    <i r="1">
      <x v="2"/>
      <x v="52"/>
    </i>
    <i r="1">
      <x v="5"/>
      <x v="54"/>
    </i>
    <i>
      <x v="25"/>
      <x v="92"/>
      <x v="4"/>
    </i>
    <i>
      <x v="26"/>
      <x v="13"/>
      <x v="56"/>
    </i>
    <i>
      <x v="27"/>
      <x v="10"/>
      <x v="27"/>
    </i>
    <i r="1">
      <x v="11"/>
      <x v="27"/>
    </i>
    <i>
      <x v="28"/>
      <x v="73"/>
      <x v="11"/>
    </i>
    <i r="1">
      <x v="85"/>
      <x v="11"/>
    </i>
    <i>
      <x v="29"/>
      <x v="74"/>
      <x v="1"/>
    </i>
    <i>
      <x v="30"/>
      <x v="74"/>
      <x v="1"/>
    </i>
    <i r="1">
      <x v="76"/>
      <x v="1"/>
    </i>
    <i>
      <x v="31"/>
      <x v="55"/>
      <x v="1"/>
    </i>
    <i>
      <x v="32"/>
      <x v="55"/>
      <x v="12"/>
    </i>
    <i>
      <x v="33"/>
      <x v="83"/>
      <x v="43"/>
    </i>
    <i>
      <x v="34"/>
      <x v="50"/>
      <x v="8"/>
    </i>
    <i r="1">
      <x v="52"/>
      <x v="9"/>
    </i>
    <i>
      <x v="35"/>
      <x v="25"/>
      <x v="28"/>
    </i>
    <i>
      <x v="36"/>
      <x/>
      <x v="27"/>
    </i>
    <i r="1">
      <x v="4"/>
      <x v="27"/>
    </i>
    <i r="1">
      <x v="8"/>
      <x v="27"/>
    </i>
    <i r="1">
      <x v="20"/>
      <x v="27"/>
    </i>
    <i>
      <x v="37"/>
      <x v="7"/>
      <x v="27"/>
    </i>
    <i r="1">
      <x v="19"/>
      <x v="27"/>
    </i>
    <i r="1">
      <x v="24"/>
      <x v="27"/>
    </i>
    <i>
      <x v="38"/>
      <x v="16"/>
      <x v="27"/>
    </i>
    <i>
      <x v="39"/>
      <x v="30"/>
      <x v="45"/>
    </i>
    <i r="1">
      <x v="31"/>
      <x v="46"/>
    </i>
    <i>
      <x v="40"/>
      <x v="51"/>
      <x v="12"/>
    </i>
    <i r="1">
      <x v="86"/>
      <x v="12"/>
    </i>
    <i r="1">
      <x v="93"/>
      <x v="12"/>
    </i>
    <i>
      <x v="41"/>
      <x v="59"/>
      <x v="47"/>
    </i>
    <i>
      <x v="42"/>
      <x v="20"/>
      <x v="27"/>
    </i>
    <i>
      <x v="43"/>
      <x v="59"/>
      <x v="26"/>
    </i>
    <i t="grand">
      <x/>
    </i>
  </rowItems>
  <colItems count="1">
    <i/>
  </colItems>
  <dataFields count="1">
    <dataField name="Sum of Line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6D7DC3-9B53-4770-8326-EA534F480AE3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3:C80" firstHeaderRow="1" firstDataRow="1" firstDataCol="2"/>
  <pivotFields count="10">
    <pivotField compact="0" outline="0" showAll="0" defaultSubtotal="0"/>
    <pivotField axis="axisRow" compact="0" outline="0" showAll="0" defaultSubtotal="0">
      <items count="44">
        <item x="18"/>
        <item x="8"/>
        <item x="32"/>
        <item x="2"/>
        <item x="37"/>
        <item x="30"/>
        <item x="11"/>
        <item x="19"/>
        <item x="3"/>
        <item x="4"/>
        <item x="7"/>
        <item x="25"/>
        <item x="28"/>
        <item x="9"/>
        <item x="0"/>
        <item x="27"/>
        <item x="20"/>
        <item x="23"/>
        <item x="15"/>
        <item x="21"/>
        <item x="24"/>
        <item x="33"/>
        <item x="29"/>
        <item x="40"/>
        <item x="13"/>
        <item x="26"/>
        <item x="12"/>
        <item x="36"/>
        <item x="22"/>
        <item x="16"/>
        <item x="17"/>
        <item x="14"/>
        <item x="43"/>
        <item x="10"/>
        <item x="1"/>
        <item x="41"/>
        <item x="34"/>
        <item x="35"/>
        <item x="38"/>
        <item x="5"/>
        <item x="42"/>
        <item x="6"/>
        <item x="39"/>
        <item x="31"/>
      </items>
    </pivotField>
    <pivotField compact="0" numFmtId="1" outline="0" showAll="0" defaultSubtotal="0"/>
    <pivotField compact="0" numFmtId="15" outline="0" showAll="0" defaultSubtotal="0"/>
    <pivotField axis="axisRow" compact="0" outline="0" showAll="0" defaultSubtotal="0">
      <items count="58">
        <item x="35"/>
        <item x="34"/>
        <item x="39"/>
        <item x="38"/>
        <item x="40"/>
        <item x="36"/>
        <item x="0"/>
        <item x="1"/>
        <item x="2"/>
        <item x="3"/>
        <item x="4"/>
        <item x="37"/>
        <item x="57"/>
        <item x="41"/>
        <item x="45"/>
        <item x="46"/>
        <item x="47"/>
        <item x="48"/>
        <item x="49"/>
        <item x="50"/>
        <item x="51"/>
        <item x="52"/>
        <item x="53"/>
        <item x="42"/>
        <item x="54"/>
        <item x="43"/>
        <item x="44"/>
        <item x="55"/>
        <item x="56"/>
        <item x="5"/>
        <item x="6"/>
        <item x="7"/>
        <item x="24"/>
        <item x="8"/>
        <item x="9"/>
        <item x="10"/>
        <item x="25"/>
        <item x="11"/>
        <item x="12"/>
        <item x="13"/>
        <item x="14"/>
        <item x="15"/>
        <item x="16"/>
        <item x="26"/>
        <item x="23"/>
        <item x="17"/>
        <item x="18"/>
        <item x="19"/>
        <item x="20"/>
        <item x="21"/>
        <item x="22"/>
        <item x="31"/>
        <item x="32"/>
        <item x="27"/>
        <item x="33"/>
        <item x="28"/>
        <item x="29"/>
        <item x="30"/>
      </items>
    </pivotField>
    <pivotField dataField="1" compact="0" numFmtId="4" outline="0" showAll="0" defaultSubtotal="0"/>
    <pivotField compact="0" numFmtId="165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</pivotFields>
  <rowFields count="2">
    <field x="1"/>
    <field x="4"/>
  </rowFields>
  <rowItems count="77">
    <i>
      <x/>
      <x/>
    </i>
    <i>
      <x v="1"/>
      <x v="50"/>
    </i>
    <i>
      <x v="2"/>
      <x v="26"/>
    </i>
    <i>
      <x v="3"/>
      <x v="29"/>
    </i>
    <i r="1">
      <x v="32"/>
    </i>
    <i r="1">
      <x v="36"/>
    </i>
    <i r="1">
      <x v="39"/>
    </i>
    <i r="1">
      <x v="40"/>
    </i>
    <i r="1">
      <x v="41"/>
    </i>
    <i r="1">
      <x v="42"/>
    </i>
    <i>
      <x v="4"/>
      <x v="27"/>
    </i>
    <i r="1">
      <x v="28"/>
    </i>
    <i>
      <x v="5"/>
      <x v="17"/>
    </i>
    <i r="1">
      <x v="18"/>
    </i>
    <i r="1">
      <x v="19"/>
    </i>
    <i r="1">
      <x v="20"/>
    </i>
    <i r="1">
      <x v="21"/>
    </i>
    <i r="1">
      <x v="22"/>
    </i>
    <i r="1">
      <x v="24"/>
    </i>
    <i r="1">
      <x v="26"/>
    </i>
    <i>
      <x v="6"/>
      <x v="53"/>
    </i>
    <i r="1">
      <x v="55"/>
    </i>
    <i r="1">
      <x v="57"/>
    </i>
    <i>
      <x v="7"/>
      <x v="5"/>
    </i>
    <i>
      <x v="8"/>
      <x v="30"/>
    </i>
    <i>
      <x v="9"/>
      <x v="23"/>
    </i>
    <i r="1">
      <x v="31"/>
    </i>
    <i r="1">
      <x v="33"/>
    </i>
    <i r="1">
      <x v="34"/>
    </i>
    <i r="1">
      <x v="35"/>
    </i>
    <i r="1">
      <x v="37"/>
    </i>
    <i r="1">
      <x v="38"/>
    </i>
    <i>
      <x v="10"/>
      <x v="48"/>
    </i>
    <i r="1">
      <x v="49"/>
    </i>
    <i>
      <x v="11"/>
      <x v="2"/>
    </i>
    <i>
      <x v="12"/>
      <x v="25"/>
    </i>
    <i>
      <x v="13"/>
      <x v="44"/>
    </i>
    <i>
      <x v="14"/>
      <x v="6"/>
    </i>
    <i r="1">
      <x v="7"/>
    </i>
    <i r="1">
      <x v="10"/>
    </i>
    <i>
      <x v="15"/>
      <x v="13"/>
    </i>
    <i>
      <x v="16"/>
      <x v="5"/>
    </i>
    <i>
      <x v="17"/>
      <x v="11"/>
    </i>
    <i>
      <x v="18"/>
      <x v="1"/>
    </i>
    <i>
      <x v="19"/>
      <x v="11"/>
    </i>
    <i>
      <x v="20"/>
      <x v="3"/>
    </i>
    <i>
      <x v="21"/>
      <x v="14"/>
    </i>
    <i r="1">
      <x v="15"/>
    </i>
    <i r="1">
      <x v="16"/>
    </i>
    <i r="1">
      <x v="24"/>
    </i>
    <i>
      <x v="22"/>
      <x v="26"/>
    </i>
    <i>
      <x v="23"/>
      <x v="28"/>
    </i>
    <i>
      <x v="24"/>
      <x v="51"/>
    </i>
    <i r="1">
      <x v="52"/>
    </i>
    <i r="1">
      <x v="54"/>
    </i>
    <i>
      <x v="25"/>
      <x v="4"/>
    </i>
    <i>
      <x v="26"/>
      <x v="56"/>
    </i>
    <i>
      <x v="27"/>
      <x v="27"/>
    </i>
    <i>
      <x v="28"/>
      <x v="11"/>
    </i>
    <i>
      <x v="29"/>
      <x v="1"/>
    </i>
    <i>
      <x v="30"/>
      <x v="1"/>
    </i>
    <i>
      <x v="31"/>
      <x v="1"/>
    </i>
    <i>
      <x v="32"/>
      <x v="12"/>
    </i>
    <i>
      <x v="33"/>
      <x v="43"/>
    </i>
    <i>
      <x v="34"/>
      <x v="8"/>
    </i>
    <i r="1">
      <x v="9"/>
    </i>
    <i>
      <x v="35"/>
      <x v="28"/>
    </i>
    <i>
      <x v="36"/>
      <x v="27"/>
    </i>
    <i>
      <x v="37"/>
      <x v="27"/>
    </i>
    <i>
      <x v="38"/>
      <x v="27"/>
    </i>
    <i>
      <x v="39"/>
      <x v="45"/>
    </i>
    <i r="1">
      <x v="46"/>
    </i>
    <i>
      <x v="40"/>
      <x v="12"/>
    </i>
    <i>
      <x v="41"/>
      <x v="47"/>
    </i>
    <i>
      <x v="42"/>
      <x v="27"/>
    </i>
    <i>
      <x v="43"/>
      <x v="26"/>
    </i>
    <i t="grand">
      <x/>
    </i>
  </rowItems>
  <colItems count="1">
    <i/>
  </colItems>
  <dataFields count="1">
    <dataField name="Sum of Line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F2DF6-7E59-4765-839A-8EB035A6B06E}">
  <sheetPr codeName="Sheet2"/>
  <dimension ref="A3:B71"/>
  <sheetViews>
    <sheetView topLeftCell="A51" workbookViewId="0">
      <selection activeCell="A3" sqref="A3"/>
    </sheetView>
  </sheetViews>
  <sheetFormatPr defaultRowHeight="14.5" x14ac:dyDescent="0.35"/>
  <cols>
    <col min="1" max="1" width="12.36328125" bestFit="1" customWidth="1"/>
    <col min="2" max="2" width="17.90625" bestFit="1" customWidth="1"/>
  </cols>
  <sheetData>
    <row r="3" spans="1:2" x14ac:dyDescent="0.35">
      <c r="A3" s="15" t="s">
        <v>349</v>
      </c>
      <c r="B3" t="s">
        <v>347</v>
      </c>
    </row>
    <row r="4" spans="1:2" x14ac:dyDescent="0.35">
      <c r="A4" s="17">
        <v>5116652061</v>
      </c>
      <c r="B4" s="16">
        <v>1947.3</v>
      </c>
    </row>
    <row r="5" spans="1:2" x14ac:dyDescent="0.35">
      <c r="A5" s="17">
        <v>5116654202</v>
      </c>
      <c r="B5" s="16">
        <v>39337.83</v>
      </c>
    </row>
    <row r="6" spans="1:2" x14ac:dyDescent="0.35">
      <c r="A6" s="17">
        <v>5116654219</v>
      </c>
      <c r="B6" s="16">
        <v>138971.70000000004</v>
      </c>
    </row>
    <row r="7" spans="1:2" x14ac:dyDescent="0.35">
      <c r="A7" s="17">
        <v>5116654978</v>
      </c>
      <c r="B7" s="16">
        <v>27.5</v>
      </c>
    </row>
    <row r="8" spans="1:2" x14ac:dyDescent="0.35">
      <c r="A8" s="17">
        <v>5116655369</v>
      </c>
      <c r="B8" s="16">
        <v>315.44</v>
      </c>
    </row>
    <row r="9" spans="1:2" x14ac:dyDescent="0.35">
      <c r="A9" s="17">
        <v>5116655380</v>
      </c>
      <c r="B9" s="16">
        <v>792.75</v>
      </c>
    </row>
    <row r="10" spans="1:2" x14ac:dyDescent="0.35">
      <c r="A10" s="17">
        <v>5116655653</v>
      </c>
      <c r="B10" s="16">
        <v>3110.24</v>
      </c>
    </row>
    <row r="11" spans="1:2" x14ac:dyDescent="0.35">
      <c r="A11" s="17">
        <v>5116660217</v>
      </c>
      <c r="B11" s="16">
        <v>1358</v>
      </c>
    </row>
    <row r="12" spans="1:2" x14ac:dyDescent="0.35">
      <c r="A12" s="17">
        <v>5116660218</v>
      </c>
      <c r="B12" s="16">
        <v>16.920000000000002</v>
      </c>
    </row>
    <row r="13" spans="1:2" x14ac:dyDescent="0.35">
      <c r="A13" s="17">
        <v>5116660219</v>
      </c>
      <c r="B13" s="16">
        <v>8380.2000000000007</v>
      </c>
    </row>
    <row r="14" spans="1:2" x14ac:dyDescent="0.35">
      <c r="A14" s="17">
        <v>5116660330</v>
      </c>
      <c r="B14" s="16">
        <v>668.45</v>
      </c>
    </row>
    <row r="15" spans="1:2" x14ac:dyDescent="0.35">
      <c r="A15" s="17">
        <v>5116660331</v>
      </c>
      <c r="B15" s="16">
        <v>92.05</v>
      </c>
    </row>
    <row r="16" spans="1:2" x14ac:dyDescent="0.35">
      <c r="A16" s="17">
        <v>5116660347</v>
      </c>
      <c r="B16" s="16">
        <v>41026.189999999995</v>
      </c>
    </row>
    <row r="17" spans="1:2" x14ac:dyDescent="0.35">
      <c r="A17" s="17">
        <v>5116661284</v>
      </c>
      <c r="B17" s="16">
        <v>6829.92</v>
      </c>
    </row>
    <row r="18" spans="1:2" x14ac:dyDescent="0.35">
      <c r="A18" s="17">
        <v>5116661285</v>
      </c>
      <c r="B18" s="16">
        <v>251.48000000000002</v>
      </c>
    </row>
    <row r="19" spans="1:2" x14ac:dyDescent="0.35">
      <c r="A19" s="17">
        <v>5116661490</v>
      </c>
      <c r="B19" s="16">
        <v>216244.32000000004</v>
      </c>
    </row>
    <row r="20" spans="1:2" x14ac:dyDescent="0.35">
      <c r="A20" s="17">
        <v>5116664073</v>
      </c>
      <c r="B20" s="16">
        <v>6391.14</v>
      </c>
    </row>
    <row r="21" spans="1:2" x14ac:dyDescent="0.35">
      <c r="A21" s="17">
        <v>5116664074</v>
      </c>
      <c r="B21" s="16">
        <v>46.54</v>
      </c>
    </row>
    <row r="22" spans="1:2" x14ac:dyDescent="0.35">
      <c r="A22" s="17">
        <v>5116664075</v>
      </c>
      <c r="B22" s="16">
        <v>46.54</v>
      </c>
    </row>
    <row r="23" spans="1:2" x14ac:dyDescent="0.35">
      <c r="A23" s="17">
        <v>5116664076</v>
      </c>
      <c r="B23" s="16">
        <v>46.54</v>
      </c>
    </row>
    <row r="24" spans="1:2" x14ac:dyDescent="0.35">
      <c r="A24" s="17">
        <v>5116664077</v>
      </c>
      <c r="B24" s="16">
        <v>418.86</v>
      </c>
    </row>
    <row r="25" spans="1:2" x14ac:dyDescent="0.35">
      <c r="A25" s="17">
        <v>5116664078</v>
      </c>
      <c r="B25" s="16">
        <v>46.54</v>
      </c>
    </row>
    <row r="26" spans="1:2" x14ac:dyDescent="0.35">
      <c r="A26" s="17">
        <v>5116664079</v>
      </c>
      <c r="B26" s="16">
        <v>93.08</v>
      </c>
    </row>
    <row r="27" spans="1:2" x14ac:dyDescent="0.35">
      <c r="A27" s="17">
        <v>5116664180</v>
      </c>
      <c r="B27" s="16">
        <v>46.54</v>
      </c>
    </row>
    <row r="28" spans="1:2" x14ac:dyDescent="0.35">
      <c r="A28" s="17">
        <v>5116664181</v>
      </c>
      <c r="B28" s="16">
        <v>46.54</v>
      </c>
    </row>
    <row r="29" spans="1:2" x14ac:dyDescent="0.35">
      <c r="A29" s="17">
        <v>5116664182</v>
      </c>
      <c r="B29" s="16">
        <v>46.54</v>
      </c>
    </row>
    <row r="30" spans="1:2" x14ac:dyDescent="0.35">
      <c r="A30" s="17">
        <v>5116664183</v>
      </c>
      <c r="B30" s="16">
        <v>117.9</v>
      </c>
    </row>
    <row r="31" spans="1:2" x14ac:dyDescent="0.35">
      <c r="A31" s="17">
        <v>5116664184</v>
      </c>
      <c r="B31" s="16">
        <v>4350.33</v>
      </c>
    </row>
    <row r="32" spans="1:2" x14ac:dyDescent="0.35">
      <c r="A32" s="17">
        <v>5116664185</v>
      </c>
      <c r="B32" s="16">
        <v>25628.400000000001</v>
      </c>
    </row>
    <row r="33" spans="1:2" x14ac:dyDescent="0.35">
      <c r="A33" s="17">
        <v>5116664192</v>
      </c>
      <c r="B33" s="16">
        <v>65700.409999999989</v>
      </c>
    </row>
    <row r="34" spans="1:2" x14ac:dyDescent="0.35">
      <c r="A34" s="17">
        <v>5116664517</v>
      </c>
      <c r="B34" s="16">
        <v>1815.75</v>
      </c>
    </row>
    <row r="35" spans="1:2" x14ac:dyDescent="0.35">
      <c r="A35" s="17">
        <v>5116664518</v>
      </c>
      <c r="B35" s="16">
        <v>19730.789999999997</v>
      </c>
    </row>
    <row r="36" spans="1:2" x14ac:dyDescent="0.35">
      <c r="A36" s="17">
        <v>5116664519</v>
      </c>
      <c r="B36" s="16">
        <v>9266.7900000000009</v>
      </c>
    </row>
    <row r="37" spans="1:2" x14ac:dyDescent="0.35">
      <c r="A37" s="17">
        <v>5116667552</v>
      </c>
      <c r="B37" s="16">
        <v>975.4</v>
      </c>
    </row>
    <row r="38" spans="1:2" x14ac:dyDescent="0.35">
      <c r="A38" s="17">
        <v>5116667553</v>
      </c>
      <c r="B38" s="16">
        <v>39.4</v>
      </c>
    </row>
    <row r="39" spans="1:2" x14ac:dyDescent="0.35">
      <c r="A39" s="17">
        <v>5116667554</v>
      </c>
      <c r="B39" s="16">
        <v>32.72</v>
      </c>
    </row>
    <row r="40" spans="1:2" x14ac:dyDescent="0.35">
      <c r="A40" s="17">
        <v>5116667555</v>
      </c>
      <c r="B40" s="16">
        <v>214.92</v>
      </c>
    </row>
    <row r="41" spans="1:2" x14ac:dyDescent="0.35">
      <c r="A41" s="17">
        <v>5116667556</v>
      </c>
      <c r="B41" s="16">
        <v>58.8</v>
      </c>
    </row>
    <row r="42" spans="1:2" x14ac:dyDescent="0.35">
      <c r="A42" s="17">
        <v>5116667557</v>
      </c>
      <c r="B42" s="16">
        <v>76.52000000000001</v>
      </c>
    </row>
    <row r="43" spans="1:2" x14ac:dyDescent="0.35">
      <c r="A43" s="17">
        <v>5116667558</v>
      </c>
      <c r="B43" s="16">
        <v>157.6</v>
      </c>
    </row>
    <row r="44" spans="1:2" x14ac:dyDescent="0.35">
      <c r="A44" s="17">
        <v>5116667559</v>
      </c>
      <c r="B44" s="16">
        <v>222.8</v>
      </c>
    </row>
    <row r="45" spans="1:2" x14ac:dyDescent="0.35">
      <c r="A45" s="17">
        <v>5116667560</v>
      </c>
      <c r="B45" s="16">
        <v>2716</v>
      </c>
    </row>
    <row r="46" spans="1:2" x14ac:dyDescent="0.35">
      <c r="A46" s="17">
        <v>5116667561</v>
      </c>
      <c r="B46" s="16">
        <v>239.33</v>
      </c>
    </row>
    <row r="47" spans="1:2" x14ac:dyDescent="0.35">
      <c r="A47" s="17">
        <v>5116667562</v>
      </c>
      <c r="B47" s="16">
        <v>499.24</v>
      </c>
    </row>
    <row r="48" spans="1:2" x14ac:dyDescent="0.35">
      <c r="A48" s="17">
        <v>5116667563</v>
      </c>
      <c r="B48" s="16">
        <v>405</v>
      </c>
    </row>
    <row r="49" spans="1:2" x14ac:dyDescent="0.35">
      <c r="A49" s="17">
        <v>5116667564</v>
      </c>
      <c r="B49" s="16">
        <v>1532.86</v>
      </c>
    </row>
    <row r="50" spans="1:2" x14ac:dyDescent="0.35">
      <c r="A50" s="17">
        <v>5116667565</v>
      </c>
      <c r="B50" s="16">
        <v>1756.92</v>
      </c>
    </row>
    <row r="51" spans="1:2" x14ac:dyDescent="0.35">
      <c r="A51" s="17">
        <v>5116667566</v>
      </c>
      <c r="B51" s="16">
        <v>318.02999999999997</v>
      </c>
    </row>
    <row r="52" spans="1:2" x14ac:dyDescent="0.35">
      <c r="A52" s="17">
        <v>5116667567</v>
      </c>
      <c r="B52" s="16">
        <v>571.79999999999995</v>
      </c>
    </row>
    <row r="53" spans="1:2" x14ac:dyDescent="0.35">
      <c r="A53" s="17">
        <v>5116667568</v>
      </c>
      <c r="B53" s="16">
        <v>5563.46</v>
      </c>
    </row>
    <row r="54" spans="1:2" x14ac:dyDescent="0.35">
      <c r="A54" s="17">
        <v>5116667590</v>
      </c>
      <c r="B54" s="16">
        <v>90531.92</v>
      </c>
    </row>
    <row r="55" spans="1:2" x14ac:dyDescent="0.35">
      <c r="A55" s="17">
        <v>5116667591</v>
      </c>
      <c r="B55" s="16">
        <v>22632.98</v>
      </c>
    </row>
    <row r="56" spans="1:2" x14ac:dyDescent="0.35">
      <c r="A56" s="17">
        <v>5116667592</v>
      </c>
      <c r="B56" s="16">
        <v>25513.3</v>
      </c>
    </row>
    <row r="57" spans="1:2" x14ac:dyDescent="0.35">
      <c r="A57" s="17">
        <v>5116667593</v>
      </c>
      <c r="B57" s="16">
        <v>22780.799999999999</v>
      </c>
    </row>
    <row r="58" spans="1:2" x14ac:dyDescent="0.35">
      <c r="A58" s="17">
        <v>5116667594</v>
      </c>
      <c r="B58" s="16">
        <v>25535.599999999999</v>
      </c>
    </row>
    <row r="59" spans="1:2" x14ac:dyDescent="0.35">
      <c r="A59" s="17">
        <v>5116667595</v>
      </c>
      <c r="B59" s="16">
        <v>14340.6</v>
      </c>
    </row>
    <row r="60" spans="1:2" x14ac:dyDescent="0.35">
      <c r="A60" s="17">
        <v>5116667950</v>
      </c>
      <c r="B60" s="16">
        <v>513.24</v>
      </c>
    </row>
    <row r="61" spans="1:2" x14ac:dyDescent="0.35">
      <c r="A61" s="17">
        <v>5116667951</v>
      </c>
      <c r="B61" s="16">
        <v>1539.72</v>
      </c>
    </row>
    <row r="62" spans="1:2" x14ac:dyDescent="0.35">
      <c r="A62" s="17">
        <v>5116667952</v>
      </c>
      <c r="B62" s="16">
        <v>32.979999999999997</v>
      </c>
    </row>
    <row r="63" spans="1:2" x14ac:dyDescent="0.35">
      <c r="A63" s="17">
        <v>5116667953</v>
      </c>
      <c r="B63" s="16">
        <v>5.7</v>
      </c>
    </row>
    <row r="64" spans="1:2" x14ac:dyDescent="0.35">
      <c r="A64" s="17">
        <v>5116667954</v>
      </c>
      <c r="B64" s="16">
        <v>2052.96</v>
      </c>
    </row>
    <row r="65" spans="1:2" x14ac:dyDescent="0.35">
      <c r="A65" s="17">
        <v>5116667955</v>
      </c>
      <c r="B65" s="16">
        <v>24.3</v>
      </c>
    </row>
    <row r="66" spans="1:2" x14ac:dyDescent="0.35">
      <c r="A66" s="17">
        <v>5116667956</v>
      </c>
      <c r="B66" s="16">
        <v>18.43</v>
      </c>
    </row>
    <row r="67" spans="1:2" x14ac:dyDescent="0.35">
      <c r="A67" s="17">
        <v>5116667957</v>
      </c>
      <c r="B67" s="16">
        <v>9105.42</v>
      </c>
    </row>
    <row r="68" spans="1:2" x14ac:dyDescent="0.35">
      <c r="A68" s="17">
        <v>5116667958</v>
      </c>
      <c r="B68" s="16">
        <v>4425.6899999999996</v>
      </c>
    </row>
    <row r="69" spans="1:2" x14ac:dyDescent="0.35">
      <c r="A69" s="17">
        <v>5116667959</v>
      </c>
      <c r="B69" s="16">
        <v>520.70000000000005</v>
      </c>
    </row>
    <row r="70" spans="1:2" x14ac:dyDescent="0.35">
      <c r="A70" s="17">
        <v>5116667960</v>
      </c>
      <c r="B70" s="16">
        <v>88.48</v>
      </c>
    </row>
    <row r="71" spans="1:2" x14ac:dyDescent="0.35">
      <c r="A71" s="17" t="s">
        <v>346</v>
      </c>
      <c r="B71" s="16">
        <v>828253.14000000025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6FF3A-DDF5-48B2-9417-4E0096861E56}">
  <sheetPr codeName="Sheet1"/>
  <dimension ref="A2:L160"/>
  <sheetViews>
    <sheetView topLeftCell="A2" workbookViewId="0">
      <selection activeCell="B11" sqref="B11"/>
    </sheetView>
  </sheetViews>
  <sheetFormatPr defaultRowHeight="14.5" x14ac:dyDescent="0.35"/>
  <cols>
    <col min="1" max="1" width="10.81640625" bestFit="1" customWidth="1"/>
    <col min="2" max="2" width="24.26953125" customWidth="1"/>
    <col min="3" max="3" width="7.54296875" bestFit="1" customWidth="1"/>
    <col min="4" max="4" width="17.453125" bestFit="1" customWidth="1"/>
    <col min="5" max="5" width="11.453125" bestFit="1" customWidth="1"/>
    <col min="6" max="6" width="11.36328125" bestFit="1" customWidth="1"/>
    <col min="7" max="7" width="14.453125" bestFit="1" customWidth="1"/>
    <col min="8" max="8" width="10.1796875" bestFit="1" customWidth="1"/>
    <col min="9" max="9" width="11" customWidth="1"/>
    <col min="10" max="10" width="18.453125" bestFit="1" customWidth="1"/>
    <col min="11" max="11" width="25" bestFit="1" customWidth="1"/>
    <col min="12" max="12" width="8.81640625" bestFit="1" customWidth="1"/>
  </cols>
  <sheetData>
    <row r="2" spans="1:12" x14ac:dyDescent="0.35">
      <c r="A2" s="1" t="s">
        <v>0</v>
      </c>
      <c r="B2" s="1" t="s">
        <v>1</v>
      </c>
      <c r="C2" s="1" t="s">
        <v>2</v>
      </c>
      <c r="D2" s="2" t="s">
        <v>3</v>
      </c>
      <c r="E2" s="1" t="s">
        <v>4</v>
      </c>
      <c r="F2" s="3" t="s">
        <v>5</v>
      </c>
      <c r="G2" s="1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5" t="s">
        <v>11</v>
      </c>
    </row>
    <row r="3" spans="1:12" x14ac:dyDescent="0.35">
      <c r="A3">
        <v>5116660217</v>
      </c>
      <c r="B3" t="s">
        <v>12</v>
      </c>
      <c r="C3">
        <v>1</v>
      </c>
      <c r="D3" s="6" t="s">
        <v>13</v>
      </c>
      <c r="E3" s="7">
        <v>44942</v>
      </c>
      <c r="F3" s="8">
        <v>5003527928</v>
      </c>
      <c r="G3" t="s">
        <v>14</v>
      </c>
      <c r="H3" s="9">
        <v>6.79</v>
      </c>
      <c r="I3" s="10">
        <v>200</v>
      </c>
      <c r="J3" s="9">
        <v>1358</v>
      </c>
      <c r="K3" s="11">
        <v>1358</v>
      </c>
      <c r="L3" s="7">
        <v>44942</v>
      </c>
    </row>
    <row r="4" spans="1:12" x14ac:dyDescent="0.35">
      <c r="A4">
        <v>5116660218</v>
      </c>
      <c r="B4" t="s">
        <v>15</v>
      </c>
      <c r="C4">
        <v>1</v>
      </c>
      <c r="D4" s="6" t="s">
        <v>13</v>
      </c>
      <c r="E4" s="7">
        <v>44942</v>
      </c>
      <c r="F4" s="8">
        <v>5003564185</v>
      </c>
      <c r="G4" t="s">
        <v>16</v>
      </c>
      <c r="H4" s="9">
        <v>8.4600000000000009</v>
      </c>
      <c r="I4" s="10">
        <v>2</v>
      </c>
      <c r="J4" s="9">
        <v>16.920000000000002</v>
      </c>
      <c r="K4" s="11">
        <v>16.920000000000002</v>
      </c>
      <c r="L4" s="7">
        <v>44942</v>
      </c>
    </row>
    <row r="5" spans="1:12" x14ac:dyDescent="0.35">
      <c r="A5">
        <v>5116660219</v>
      </c>
      <c r="B5" t="s">
        <v>17</v>
      </c>
      <c r="C5">
        <v>1</v>
      </c>
      <c r="D5" s="6" t="s">
        <v>18</v>
      </c>
      <c r="E5" s="7">
        <v>44942</v>
      </c>
      <c r="F5" s="8">
        <v>5003598214</v>
      </c>
      <c r="G5" t="s">
        <v>19</v>
      </c>
      <c r="H5" s="9">
        <v>139.67000000000002</v>
      </c>
      <c r="I5" s="10">
        <v>60</v>
      </c>
      <c r="J5" s="9">
        <v>8380.2000000000007</v>
      </c>
      <c r="K5" s="11">
        <v>8380.2000000000007</v>
      </c>
      <c r="L5" s="7">
        <v>44942</v>
      </c>
    </row>
    <row r="6" spans="1:12" x14ac:dyDescent="0.35">
      <c r="A6">
        <v>5116660330</v>
      </c>
      <c r="B6" t="s">
        <v>20</v>
      </c>
      <c r="C6">
        <v>1</v>
      </c>
      <c r="D6" s="6" t="s">
        <v>18</v>
      </c>
      <c r="E6" s="7">
        <v>44942</v>
      </c>
      <c r="F6" s="8">
        <v>5003603610</v>
      </c>
      <c r="G6" t="s">
        <v>21</v>
      </c>
      <c r="H6" s="9">
        <v>133.69</v>
      </c>
      <c r="I6" s="10">
        <v>5</v>
      </c>
      <c r="J6" s="9">
        <v>668.45</v>
      </c>
      <c r="K6" s="11">
        <v>668.45</v>
      </c>
      <c r="L6" s="7">
        <v>44942</v>
      </c>
    </row>
    <row r="7" spans="1:12" x14ac:dyDescent="0.35">
      <c r="A7">
        <v>5116660331</v>
      </c>
      <c r="B7" t="s">
        <v>22</v>
      </c>
      <c r="C7">
        <v>1</v>
      </c>
      <c r="D7" s="6" t="s">
        <v>13</v>
      </c>
      <c r="E7" s="7">
        <v>44942</v>
      </c>
      <c r="F7" s="8">
        <v>5003636516</v>
      </c>
      <c r="G7" t="s">
        <v>23</v>
      </c>
      <c r="H7" s="9">
        <v>18.41</v>
      </c>
      <c r="I7" s="10">
        <v>5</v>
      </c>
      <c r="J7" s="9">
        <v>92.05</v>
      </c>
      <c r="K7" s="11">
        <v>92.05</v>
      </c>
      <c r="L7" s="7">
        <v>44942</v>
      </c>
    </row>
    <row r="8" spans="1:12" x14ac:dyDescent="0.35">
      <c r="A8">
        <v>5116667552</v>
      </c>
      <c r="B8" t="s">
        <v>24</v>
      </c>
      <c r="C8">
        <v>1</v>
      </c>
      <c r="D8" s="6" t="s">
        <v>25</v>
      </c>
      <c r="E8" s="7">
        <v>44944</v>
      </c>
      <c r="F8" s="8">
        <v>5003450192</v>
      </c>
      <c r="G8" t="s">
        <v>26</v>
      </c>
      <c r="H8" s="9">
        <v>195.07999999999998</v>
      </c>
      <c r="I8" s="10">
        <v>5</v>
      </c>
      <c r="J8" s="9">
        <v>975.4</v>
      </c>
      <c r="K8" s="11">
        <v>975.4</v>
      </c>
      <c r="L8" s="7">
        <v>44942</v>
      </c>
    </row>
    <row r="9" spans="1:12" x14ac:dyDescent="0.35">
      <c r="A9">
        <v>5116667553</v>
      </c>
      <c r="B9" t="s">
        <v>27</v>
      </c>
      <c r="C9">
        <v>1</v>
      </c>
      <c r="D9" s="6" t="s">
        <v>28</v>
      </c>
      <c r="E9" s="7">
        <v>44944</v>
      </c>
      <c r="F9" s="8">
        <v>5003497527</v>
      </c>
      <c r="G9" t="s">
        <v>29</v>
      </c>
      <c r="H9" s="9">
        <v>9.85</v>
      </c>
      <c r="I9" s="10">
        <v>4</v>
      </c>
      <c r="J9" s="9">
        <v>39.4</v>
      </c>
      <c r="K9" s="11">
        <v>39.4</v>
      </c>
      <c r="L9" s="7">
        <v>44942</v>
      </c>
    </row>
    <row r="10" spans="1:12" x14ac:dyDescent="0.35">
      <c r="A10">
        <v>5116667554</v>
      </c>
      <c r="B10" t="s">
        <v>30</v>
      </c>
      <c r="C10">
        <v>1</v>
      </c>
      <c r="D10" s="6" t="s">
        <v>31</v>
      </c>
      <c r="E10" s="7">
        <v>44944</v>
      </c>
      <c r="F10" s="8">
        <v>5003520592</v>
      </c>
      <c r="G10" t="s">
        <v>32</v>
      </c>
      <c r="H10" s="9">
        <v>4.09</v>
      </c>
      <c r="I10" s="10">
        <v>8</v>
      </c>
      <c r="J10" s="9">
        <v>32.72</v>
      </c>
      <c r="K10" s="11">
        <v>32.72</v>
      </c>
      <c r="L10" s="7">
        <v>44942</v>
      </c>
    </row>
    <row r="11" spans="1:12" x14ac:dyDescent="0.35">
      <c r="A11">
        <v>5116667556</v>
      </c>
      <c r="B11" t="s">
        <v>33</v>
      </c>
      <c r="C11">
        <v>1</v>
      </c>
      <c r="D11" s="6" t="s">
        <v>31</v>
      </c>
      <c r="E11" s="7">
        <v>44944</v>
      </c>
      <c r="F11" s="8">
        <v>5003556635</v>
      </c>
      <c r="G11" t="s">
        <v>34</v>
      </c>
      <c r="H11" s="9">
        <v>0.98</v>
      </c>
      <c r="I11" s="10">
        <v>60</v>
      </c>
      <c r="J11" s="9">
        <v>58.8</v>
      </c>
      <c r="K11" s="11">
        <v>58.8</v>
      </c>
      <c r="L11" s="7">
        <v>44942</v>
      </c>
    </row>
    <row r="12" spans="1:12" x14ac:dyDescent="0.35">
      <c r="A12">
        <v>5116667557</v>
      </c>
      <c r="B12" t="s">
        <v>35</v>
      </c>
      <c r="C12">
        <v>1</v>
      </c>
      <c r="D12" s="6" t="s">
        <v>31</v>
      </c>
      <c r="E12" s="7">
        <v>44944</v>
      </c>
      <c r="F12" s="8">
        <v>5003567912</v>
      </c>
      <c r="G12" t="s">
        <v>32</v>
      </c>
      <c r="H12" s="9">
        <v>4.09</v>
      </c>
      <c r="I12" s="10">
        <v>2</v>
      </c>
      <c r="J12" s="9">
        <v>8.18</v>
      </c>
      <c r="K12" s="11">
        <v>76.52</v>
      </c>
      <c r="L12" s="7">
        <v>44942</v>
      </c>
    </row>
    <row r="13" spans="1:12" x14ac:dyDescent="0.35">
      <c r="A13">
        <v>5116667557</v>
      </c>
      <c r="B13" t="s">
        <v>36</v>
      </c>
      <c r="C13">
        <v>2</v>
      </c>
      <c r="D13" s="6" t="s">
        <v>31</v>
      </c>
      <c r="E13" s="7">
        <v>44944</v>
      </c>
      <c r="F13" s="8">
        <v>5003567912</v>
      </c>
      <c r="G13" t="s">
        <v>37</v>
      </c>
      <c r="H13" s="9">
        <v>2.0100000000000002</v>
      </c>
      <c r="I13" s="10">
        <v>34</v>
      </c>
      <c r="J13" s="9">
        <v>68.34</v>
      </c>
      <c r="K13" s="11">
        <v>76.52</v>
      </c>
      <c r="L13" s="7">
        <v>44942</v>
      </c>
    </row>
    <row r="14" spans="1:12" x14ac:dyDescent="0.35">
      <c r="A14">
        <v>5116667558</v>
      </c>
      <c r="B14" t="s">
        <v>38</v>
      </c>
      <c r="C14">
        <v>1</v>
      </c>
      <c r="D14" s="6" t="s">
        <v>31</v>
      </c>
      <c r="E14" s="7">
        <v>44944</v>
      </c>
      <c r="F14" s="8">
        <v>5003573839</v>
      </c>
      <c r="G14" t="s">
        <v>29</v>
      </c>
      <c r="H14" s="9">
        <v>9.85</v>
      </c>
      <c r="I14" s="10">
        <v>16</v>
      </c>
      <c r="J14" s="9">
        <v>157.6</v>
      </c>
      <c r="K14" s="11">
        <v>157.6</v>
      </c>
      <c r="L14" s="7">
        <v>44942</v>
      </c>
    </row>
    <row r="15" spans="1:12" x14ac:dyDescent="0.35">
      <c r="A15">
        <v>5116667560</v>
      </c>
      <c r="B15" t="s">
        <v>39</v>
      </c>
      <c r="C15">
        <v>1</v>
      </c>
      <c r="D15" s="6" t="s">
        <v>31</v>
      </c>
      <c r="E15" s="7">
        <v>44944</v>
      </c>
      <c r="F15" s="8">
        <v>5003605724</v>
      </c>
      <c r="G15" t="s">
        <v>14</v>
      </c>
      <c r="H15" s="9">
        <v>6.79</v>
      </c>
      <c r="I15" s="10">
        <v>400</v>
      </c>
      <c r="J15" s="9">
        <v>2716</v>
      </c>
      <c r="K15" s="11">
        <v>2716</v>
      </c>
      <c r="L15" s="7">
        <v>44942</v>
      </c>
    </row>
    <row r="16" spans="1:12" x14ac:dyDescent="0.35">
      <c r="A16">
        <v>5116667561</v>
      </c>
      <c r="B16" t="s">
        <v>40</v>
      </c>
      <c r="C16">
        <v>1</v>
      </c>
      <c r="D16" s="6" t="s">
        <v>31</v>
      </c>
      <c r="E16" s="7">
        <v>44944</v>
      </c>
      <c r="F16" s="8">
        <v>5003607728</v>
      </c>
      <c r="G16" t="s">
        <v>23</v>
      </c>
      <c r="H16" s="9">
        <v>18.41</v>
      </c>
      <c r="I16" s="10">
        <v>13</v>
      </c>
      <c r="J16" s="9">
        <v>239.33</v>
      </c>
      <c r="K16" s="11">
        <v>239.33</v>
      </c>
      <c r="L16" s="7">
        <v>44942</v>
      </c>
    </row>
    <row r="17" spans="1:12" x14ac:dyDescent="0.35">
      <c r="A17">
        <v>5116667562</v>
      </c>
      <c r="B17" t="s">
        <v>41</v>
      </c>
      <c r="C17">
        <v>1</v>
      </c>
      <c r="D17" s="6" t="s">
        <v>25</v>
      </c>
      <c r="E17" s="7">
        <v>44944</v>
      </c>
      <c r="F17" s="8">
        <v>5003613512</v>
      </c>
      <c r="G17">
        <v>6</v>
      </c>
      <c r="H17" s="9">
        <v>124.81</v>
      </c>
      <c r="I17" s="10">
        <v>4</v>
      </c>
      <c r="J17" s="9">
        <v>499.24</v>
      </c>
      <c r="K17" s="11">
        <v>499.24</v>
      </c>
      <c r="L17" s="7">
        <v>44942</v>
      </c>
    </row>
    <row r="18" spans="1:12" x14ac:dyDescent="0.35">
      <c r="A18">
        <v>5116667563</v>
      </c>
      <c r="B18" t="s">
        <v>42</v>
      </c>
      <c r="C18">
        <v>1</v>
      </c>
      <c r="D18" s="6" t="s">
        <v>25</v>
      </c>
      <c r="E18" s="7">
        <v>44944</v>
      </c>
      <c r="F18" s="8">
        <v>5003620754</v>
      </c>
      <c r="G18" t="s">
        <v>43</v>
      </c>
      <c r="H18" s="9">
        <v>405</v>
      </c>
      <c r="I18" s="10">
        <v>1</v>
      </c>
      <c r="J18" s="9">
        <v>405</v>
      </c>
      <c r="K18" s="11">
        <v>405</v>
      </c>
      <c r="L18" s="7">
        <v>44942</v>
      </c>
    </row>
    <row r="19" spans="1:12" x14ac:dyDescent="0.35">
      <c r="A19">
        <v>5116667564</v>
      </c>
      <c r="B19" t="s">
        <v>44</v>
      </c>
      <c r="C19">
        <v>1</v>
      </c>
      <c r="D19" s="6" t="s">
        <v>25</v>
      </c>
      <c r="E19" s="7">
        <v>44944</v>
      </c>
      <c r="F19" s="8">
        <v>5003621815</v>
      </c>
      <c r="G19" t="s">
        <v>45</v>
      </c>
      <c r="H19" s="9">
        <v>109.49</v>
      </c>
      <c r="I19" s="10">
        <v>14</v>
      </c>
      <c r="J19" s="9">
        <v>1532.86</v>
      </c>
      <c r="K19" s="11">
        <v>1532.86</v>
      </c>
      <c r="L19" s="7">
        <v>44942</v>
      </c>
    </row>
    <row r="20" spans="1:12" x14ac:dyDescent="0.35">
      <c r="A20">
        <v>5116667565</v>
      </c>
      <c r="B20" t="s">
        <v>46</v>
      </c>
      <c r="C20">
        <v>1</v>
      </c>
      <c r="D20" s="6" t="s">
        <v>25</v>
      </c>
      <c r="E20" s="7">
        <v>44944</v>
      </c>
      <c r="F20" s="8">
        <v>5003623538</v>
      </c>
      <c r="G20" t="s">
        <v>47</v>
      </c>
      <c r="H20" s="9">
        <v>146.41</v>
      </c>
      <c r="I20" s="10">
        <v>12</v>
      </c>
      <c r="J20" s="9">
        <v>1756.92</v>
      </c>
      <c r="K20" s="11">
        <v>1756.92</v>
      </c>
      <c r="L20" s="7">
        <v>44942</v>
      </c>
    </row>
    <row r="21" spans="1:12" x14ac:dyDescent="0.35">
      <c r="A21">
        <v>5116667568</v>
      </c>
      <c r="B21" t="s">
        <v>48</v>
      </c>
      <c r="C21">
        <v>1</v>
      </c>
      <c r="D21" s="6" t="s">
        <v>49</v>
      </c>
      <c r="E21" s="7">
        <v>44944</v>
      </c>
      <c r="F21" s="8">
        <v>5003653001</v>
      </c>
      <c r="H21" s="9">
        <v>9.93</v>
      </c>
      <c r="I21" s="10">
        <v>40</v>
      </c>
      <c r="J21" s="9">
        <v>397.2</v>
      </c>
      <c r="K21" s="11">
        <v>5563.46</v>
      </c>
      <c r="L21" s="7">
        <v>44942</v>
      </c>
    </row>
    <row r="22" spans="1:12" x14ac:dyDescent="0.35">
      <c r="A22">
        <v>5116667568</v>
      </c>
      <c r="B22" t="s">
        <v>50</v>
      </c>
      <c r="C22">
        <v>2</v>
      </c>
      <c r="D22" s="6" t="s">
        <v>49</v>
      </c>
      <c r="E22" s="7">
        <v>44944</v>
      </c>
      <c r="F22" s="8">
        <v>5003653001</v>
      </c>
      <c r="H22" s="9">
        <v>5166.26</v>
      </c>
      <c r="I22" s="10">
        <v>1</v>
      </c>
      <c r="J22" s="9">
        <v>5166.26</v>
      </c>
      <c r="K22" s="11">
        <v>5563.46</v>
      </c>
      <c r="L22" s="7">
        <v>44942</v>
      </c>
    </row>
    <row r="23" spans="1:12" x14ac:dyDescent="0.35">
      <c r="A23">
        <v>5116667590</v>
      </c>
      <c r="B23" t="s">
        <v>51</v>
      </c>
      <c r="C23">
        <v>1</v>
      </c>
      <c r="D23" s="6" t="s">
        <v>52</v>
      </c>
      <c r="E23" s="7">
        <v>44944</v>
      </c>
      <c r="F23" s="8">
        <v>5003507920</v>
      </c>
      <c r="G23" t="s">
        <v>53</v>
      </c>
      <c r="H23" s="9">
        <v>11316.49</v>
      </c>
      <c r="I23" s="10">
        <v>8</v>
      </c>
      <c r="J23" s="9">
        <v>90531.92</v>
      </c>
      <c r="K23" s="11">
        <v>90531.92</v>
      </c>
      <c r="L23" s="7">
        <v>44944</v>
      </c>
    </row>
    <row r="24" spans="1:12" x14ac:dyDescent="0.35">
      <c r="A24">
        <v>5116667591</v>
      </c>
      <c r="B24" t="s">
        <v>54</v>
      </c>
      <c r="C24">
        <v>1</v>
      </c>
      <c r="D24" s="6" t="s">
        <v>52</v>
      </c>
      <c r="E24" s="7">
        <v>44944</v>
      </c>
      <c r="F24" s="8">
        <v>5003507939</v>
      </c>
      <c r="G24" t="s">
        <v>55</v>
      </c>
      <c r="H24" s="9">
        <v>11316.49</v>
      </c>
      <c r="I24" s="10">
        <v>2</v>
      </c>
      <c r="J24" s="9">
        <v>22632.98</v>
      </c>
      <c r="K24" s="11">
        <v>22632.98</v>
      </c>
      <c r="L24" s="7">
        <v>44944</v>
      </c>
    </row>
    <row r="25" spans="1:12" x14ac:dyDescent="0.35">
      <c r="A25">
        <v>5116667592</v>
      </c>
      <c r="B25" t="s">
        <v>56</v>
      </c>
      <c r="C25">
        <v>1</v>
      </c>
      <c r="D25" s="6" t="s">
        <v>57</v>
      </c>
      <c r="E25" s="7">
        <v>44944</v>
      </c>
      <c r="F25" s="8">
        <v>5003611200</v>
      </c>
      <c r="G25" t="s">
        <v>58</v>
      </c>
      <c r="H25" s="9">
        <v>2551.33</v>
      </c>
      <c r="I25" s="10">
        <v>10</v>
      </c>
      <c r="J25" s="9">
        <v>25513.3</v>
      </c>
      <c r="K25" s="11">
        <v>25513.3</v>
      </c>
      <c r="L25" s="7">
        <v>44944</v>
      </c>
    </row>
    <row r="26" spans="1:12" x14ac:dyDescent="0.35">
      <c r="A26">
        <v>5116667593</v>
      </c>
      <c r="B26" t="s">
        <v>59</v>
      </c>
      <c r="C26">
        <v>1</v>
      </c>
      <c r="D26" s="6" t="s">
        <v>60</v>
      </c>
      <c r="E26" s="7">
        <v>44943</v>
      </c>
      <c r="F26" s="8">
        <v>5003614551</v>
      </c>
      <c r="G26" t="s">
        <v>61</v>
      </c>
      <c r="H26" s="9">
        <v>569.52</v>
      </c>
      <c r="I26" s="10">
        <v>40</v>
      </c>
      <c r="J26" s="9">
        <v>22780.799999999999</v>
      </c>
      <c r="K26" s="11">
        <v>22780.799999999999</v>
      </c>
      <c r="L26" s="7">
        <v>44944</v>
      </c>
    </row>
    <row r="27" spans="1:12" x14ac:dyDescent="0.35">
      <c r="A27">
        <v>5116667594</v>
      </c>
      <c r="B27" t="s">
        <v>62</v>
      </c>
      <c r="C27">
        <v>1</v>
      </c>
      <c r="D27" s="6" t="s">
        <v>60</v>
      </c>
      <c r="E27" s="7">
        <v>44943</v>
      </c>
      <c r="F27" s="8">
        <v>5003614579</v>
      </c>
      <c r="G27" t="s">
        <v>63</v>
      </c>
      <c r="H27" s="9">
        <v>2553.56</v>
      </c>
      <c r="I27" s="10">
        <v>10</v>
      </c>
      <c r="J27" s="9">
        <v>25535.599999999999</v>
      </c>
      <c r="K27" s="11">
        <v>25535.599999999999</v>
      </c>
      <c r="L27" s="7">
        <v>44944</v>
      </c>
    </row>
    <row r="28" spans="1:12" x14ac:dyDescent="0.35">
      <c r="A28">
        <v>5116667595</v>
      </c>
      <c r="B28" t="s">
        <v>64</v>
      </c>
      <c r="C28">
        <v>1</v>
      </c>
      <c r="D28" s="6" t="s">
        <v>65</v>
      </c>
      <c r="E28" s="7">
        <v>44943</v>
      </c>
      <c r="F28" s="8">
        <v>5003631185</v>
      </c>
      <c r="G28" t="s">
        <v>66</v>
      </c>
      <c r="H28" s="9">
        <v>1195.05</v>
      </c>
      <c r="I28" s="10">
        <v>12</v>
      </c>
      <c r="J28" s="9">
        <v>14340.6</v>
      </c>
      <c r="K28" s="11">
        <v>14340.6</v>
      </c>
      <c r="L28" s="7">
        <v>44944</v>
      </c>
    </row>
    <row r="29" spans="1:12" x14ac:dyDescent="0.35">
      <c r="A29">
        <v>5116667567</v>
      </c>
      <c r="B29" t="s">
        <v>67</v>
      </c>
      <c r="C29">
        <v>1</v>
      </c>
      <c r="D29" s="6" t="s">
        <v>68</v>
      </c>
      <c r="E29" s="7">
        <v>44943</v>
      </c>
      <c r="F29" s="8">
        <v>5003634382</v>
      </c>
      <c r="G29" t="s">
        <v>69</v>
      </c>
      <c r="H29" s="9">
        <v>28.589999999999996</v>
      </c>
      <c r="I29" s="10">
        <v>20</v>
      </c>
      <c r="J29" s="9">
        <v>571.79999999999995</v>
      </c>
      <c r="K29" s="11">
        <v>571.79999999999995</v>
      </c>
      <c r="L29" s="7">
        <v>44944</v>
      </c>
    </row>
    <row r="30" spans="1:12" x14ac:dyDescent="0.35">
      <c r="A30">
        <v>5116667555</v>
      </c>
      <c r="B30" t="s">
        <v>70</v>
      </c>
      <c r="C30">
        <v>1</v>
      </c>
      <c r="D30" s="6" t="s">
        <v>25</v>
      </c>
      <c r="E30" s="7">
        <v>44944</v>
      </c>
      <c r="F30" s="8">
        <v>5003553241</v>
      </c>
      <c r="G30" t="s">
        <v>71</v>
      </c>
      <c r="H30" s="9">
        <v>214.92</v>
      </c>
      <c r="I30" s="10">
        <v>1</v>
      </c>
      <c r="J30" s="9">
        <v>214.92</v>
      </c>
      <c r="K30" s="11">
        <v>214.92</v>
      </c>
      <c r="L30" s="7">
        <v>44944</v>
      </c>
    </row>
    <row r="31" spans="1:12" x14ac:dyDescent="0.35">
      <c r="A31">
        <v>5116667559</v>
      </c>
      <c r="B31" t="s">
        <v>72</v>
      </c>
      <c r="C31">
        <v>1</v>
      </c>
      <c r="D31" s="6" t="s">
        <v>25</v>
      </c>
      <c r="E31" s="7">
        <v>44944</v>
      </c>
      <c r="F31" s="8">
        <v>5003590640</v>
      </c>
      <c r="G31" t="s">
        <v>73</v>
      </c>
      <c r="H31" s="9">
        <v>44.56</v>
      </c>
      <c r="I31" s="10">
        <v>5</v>
      </c>
      <c r="J31" s="9">
        <v>222.8</v>
      </c>
      <c r="K31" s="11">
        <v>222.8</v>
      </c>
      <c r="L31" s="7">
        <v>44944</v>
      </c>
    </row>
    <row r="32" spans="1:12" x14ac:dyDescent="0.35">
      <c r="A32">
        <v>5116667566</v>
      </c>
      <c r="B32" t="s">
        <v>74</v>
      </c>
      <c r="C32">
        <v>1</v>
      </c>
      <c r="D32" s="6" t="s">
        <v>75</v>
      </c>
      <c r="E32" s="7">
        <v>44944</v>
      </c>
      <c r="F32" s="8">
        <v>5003623596</v>
      </c>
      <c r="G32" t="s">
        <v>76</v>
      </c>
      <c r="H32" s="9">
        <v>106.00999999999999</v>
      </c>
      <c r="I32" s="10">
        <v>3</v>
      </c>
      <c r="J32" s="9">
        <v>318.02999999999997</v>
      </c>
      <c r="K32" s="11">
        <v>318.02999999999997</v>
      </c>
      <c r="L32" s="7">
        <v>44944</v>
      </c>
    </row>
    <row r="33" spans="1:12" x14ac:dyDescent="0.35">
      <c r="A33">
        <v>5116667952</v>
      </c>
      <c r="B33" t="s">
        <v>77</v>
      </c>
      <c r="C33">
        <v>1</v>
      </c>
      <c r="D33" s="6" t="s">
        <v>78</v>
      </c>
      <c r="E33" s="7">
        <v>44944</v>
      </c>
      <c r="F33" s="8">
        <v>2351636785</v>
      </c>
      <c r="G33" t="s">
        <v>79</v>
      </c>
      <c r="H33" s="9">
        <v>0.96999999999999986</v>
      </c>
      <c r="I33" s="10">
        <v>34</v>
      </c>
      <c r="J33" s="9">
        <v>32.979999999999997</v>
      </c>
      <c r="K33" s="11">
        <v>32.979999999999997</v>
      </c>
      <c r="L33" s="7">
        <v>44944</v>
      </c>
    </row>
    <row r="34" spans="1:12" x14ac:dyDescent="0.35">
      <c r="A34">
        <v>5116667953</v>
      </c>
      <c r="B34" t="s">
        <v>80</v>
      </c>
      <c r="C34">
        <v>1</v>
      </c>
      <c r="D34" s="6" t="s">
        <v>81</v>
      </c>
      <c r="E34" s="7">
        <v>44944</v>
      </c>
      <c r="F34" s="8">
        <v>2351641181</v>
      </c>
      <c r="G34" t="s">
        <v>82</v>
      </c>
      <c r="H34" s="9">
        <v>0.19</v>
      </c>
      <c r="I34" s="10">
        <v>30</v>
      </c>
      <c r="J34" s="9">
        <v>5.7</v>
      </c>
      <c r="K34" s="11">
        <v>5.7</v>
      </c>
      <c r="L34" s="7">
        <v>44944</v>
      </c>
    </row>
    <row r="35" spans="1:12" x14ac:dyDescent="0.35">
      <c r="A35">
        <v>5116667955</v>
      </c>
      <c r="B35" t="s">
        <v>83</v>
      </c>
      <c r="C35">
        <v>1</v>
      </c>
      <c r="D35" s="6" t="s">
        <v>81</v>
      </c>
      <c r="E35" s="7">
        <v>44944</v>
      </c>
      <c r="F35" s="8">
        <v>2351648296</v>
      </c>
      <c r="G35" t="s">
        <v>84</v>
      </c>
      <c r="H35" s="9">
        <v>0.9</v>
      </c>
      <c r="I35" s="10">
        <v>27</v>
      </c>
      <c r="J35" s="9">
        <v>24.3</v>
      </c>
      <c r="K35" s="11">
        <v>24.3</v>
      </c>
      <c r="L35" s="7">
        <v>44944</v>
      </c>
    </row>
    <row r="36" spans="1:12" x14ac:dyDescent="0.35">
      <c r="A36">
        <v>5116667956</v>
      </c>
      <c r="B36" t="s">
        <v>85</v>
      </c>
      <c r="C36">
        <v>1</v>
      </c>
      <c r="D36" s="6" t="s">
        <v>78</v>
      </c>
      <c r="E36" s="7">
        <v>44944</v>
      </c>
      <c r="F36" s="8">
        <v>2351654595</v>
      </c>
      <c r="G36" t="s">
        <v>79</v>
      </c>
      <c r="H36" s="9">
        <v>0.97</v>
      </c>
      <c r="I36" s="10">
        <v>19</v>
      </c>
      <c r="J36" s="9">
        <v>18.43</v>
      </c>
      <c r="K36" s="11">
        <v>18.43</v>
      </c>
      <c r="L36" s="7">
        <v>44944</v>
      </c>
    </row>
    <row r="37" spans="1:12" x14ac:dyDescent="0.35">
      <c r="A37">
        <v>5116667957</v>
      </c>
      <c r="B37" t="s">
        <v>86</v>
      </c>
      <c r="C37">
        <v>1</v>
      </c>
      <c r="D37" s="6" t="s">
        <v>87</v>
      </c>
      <c r="E37" s="7">
        <v>44944</v>
      </c>
      <c r="F37" s="8">
        <v>2351657513</v>
      </c>
      <c r="G37" t="s">
        <v>88</v>
      </c>
      <c r="H37" s="9">
        <v>156.99</v>
      </c>
      <c r="I37" s="10">
        <v>3</v>
      </c>
      <c r="J37" s="9">
        <v>470.97</v>
      </c>
      <c r="K37" s="11">
        <v>9105.42</v>
      </c>
      <c r="L37" s="7">
        <v>44944</v>
      </c>
    </row>
    <row r="38" spans="1:12" x14ac:dyDescent="0.35">
      <c r="A38">
        <v>5116667957</v>
      </c>
      <c r="B38" t="s">
        <v>89</v>
      </c>
      <c r="C38">
        <v>2</v>
      </c>
      <c r="D38" s="6" t="s">
        <v>87</v>
      </c>
      <c r="E38" s="7">
        <v>44944</v>
      </c>
      <c r="F38" s="8">
        <v>2351657513</v>
      </c>
      <c r="G38" t="s">
        <v>88</v>
      </c>
      <c r="H38" s="9">
        <v>156.99</v>
      </c>
      <c r="I38" s="10">
        <v>28</v>
      </c>
      <c r="J38" s="9">
        <v>4395.72</v>
      </c>
      <c r="K38" s="11">
        <v>9105.42</v>
      </c>
      <c r="L38" s="7">
        <v>44944</v>
      </c>
    </row>
    <row r="39" spans="1:12" x14ac:dyDescent="0.35">
      <c r="A39">
        <v>5116667957</v>
      </c>
      <c r="B39" t="s">
        <v>90</v>
      </c>
      <c r="C39">
        <v>3</v>
      </c>
      <c r="D39" s="6" t="s">
        <v>87</v>
      </c>
      <c r="E39" s="7">
        <v>44944</v>
      </c>
      <c r="F39" s="8">
        <v>2351657513</v>
      </c>
      <c r="G39" t="s">
        <v>88</v>
      </c>
      <c r="H39" s="9">
        <v>156.98999999999998</v>
      </c>
      <c r="I39" s="10">
        <v>27</v>
      </c>
      <c r="J39" s="9">
        <v>4238.7299999999996</v>
      </c>
      <c r="K39" s="11">
        <v>9105.42</v>
      </c>
      <c r="L39" s="7">
        <v>44944</v>
      </c>
    </row>
    <row r="40" spans="1:12" x14ac:dyDescent="0.35">
      <c r="A40">
        <v>5116667958</v>
      </c>
      <c r="B40" t="s">
        <v>91</v>
      </c>
      <c r="C40">
        <v>1</v>
      </c>
      <c r="D40" s="6" t="s">
        <v>92</v>
      </c>
      <c r="E40" s="7">
        <v>44944</v>
      </c>
      <c r="F40" s="8">
        <v>2351667069</v>
      </c>
      <c r="G40" t="s">
        <v>93</v>
      </c>
      <c r="H40" s="9">
        <v>152.60999999999999</v>
      </c>
      <c r="I40" s="10">
        <v>29</v>
      </c>
      <c r="J40" s="9">
        <v>4425.6899999999996</v>
      </c>
      <c r="K40" s="11">
        <v>4425.6899999999996</v>
      </c>
      <c r="L40" s="7">
        <v>44944</v>
      </c>
    </row>
    <row r="41" spans="1:12" x14ac:dyDescent="0.35">
      <c r="A41">
        <v>5116667959</v>
      </c>
      <c r="B41" t="s">
        <v>94</v>
      </c>
      <c r="C41">
        <v>1</v>
      </c>
      <c r="D41" s="6" t="s">
        <v>87</v>
      </c>
      <c r="E41" s="7">
        <v>44944</v>
      </c>
      <c r="F41" s="8">
        <v>2351668234</v>
      </c>
      <c r="G41" t="s">
        <v>95</v>
      </c>
      <c r="H41" s="9">
        <v>260.35000000000002</v>
      </c>
      <c r="I41" s="10">
        <v>2</v>
      </c>
      <c r="J41" s="9">
        <v>520.70000000000005</v>
      </c>
      <c r="K41" s="11">
        <v>520.70000000000005</v>
      </c>
      <c r="L41" s="7">
        <v>44944</v>
      </c>
    </row>
    <row r="42" spans="1:12" x14ac:dyDescent="0.35">
      <c r="A42">
        <v>5116667960</v>
      </c>
      <c r="B42" t="s">
        <v>96</v>
      </c>
      <c r="C42">
        <v>1</v>
      </c>
      <c r="D42" s="6" t="s">
        <v>81</v>
      </c>
      <c r="E42" s="7">
        <v>44944</v>
      </c>
      <c r="F42" s="8">
        <v>2351676430</v>
      </c>
      <c r="G42" t="s">
        <v>97</v>
      </c>
      <c r="H42" s="9">
        <v>12.64</v>
      </c>
      <c r="I42" s="10">
        <v>7</v>
      </c>
      <c r="J42" s="9">
        <v>88.48</v>
      </c>
      <c r="K42" s="11">
        <v>88.48</v>
      </c>
      <c r="L42" s="7">
        <v>44944</v>
      </c>
    </row>
    <row r="43" spans="1:12" x14ac:dyDescent="0.35">
      <c r="A43">
        <v>5116667950</v>
      </c>
      <c r="B43" t="s">
        <v>98</v>
      </c>
      <c r="C43">
        <v>1</v>
      </c>
      <c r="D43" s="6" t="s">
        <v>99</v>
      </c>
      <c r="E43" s="7">
        <v>44944</v>
      </c>
      <c r="F43" s="8">
        <v>2351632982</v>
      </c>
      <c r="G43" t="s">
        <v>100</v>
      </c>
      <c r="H43" s="9">
        <v>513.24</v>
      </c>
      <c r="I43" s="10">
        <v>1</v>
      </c>
      <c r="J43" s="9">
        <v>513.24</v>
      </c>
      <c r="K43" s="11">
        <v>513.24</v>
      </c>
      <c r="L43" s="7">
        <v>44944</v>
      </c>
    </row>
    <row r="44" spans="1:12" x14ac:dyDescent="0.35">
      <c r="A44">
        <v>5116667951</v>
      </c>
      <c r="B44" t="s">
        <v>101</v>
      </c>
      <c r="C44">
        <v>1</v>
      </c>
      <c r="D44" s="6" t="s">
        <v>99</v>
      </c>
      <c r="E44" s="7">
        <v>44944</v>
      </c>
      <c r="F44" s="8">
        <v>2351636021</v>
      </c>
      <c r="G44" t="s">
        <v>100</v>
      </c>
      <c r="H44" s="9">
        <v>513.24</v>
      </c>
      <c r="I44" s="10">
        <v>3</v>
      </c>
      <c r="J44" s="9">
        <v>1539.72</v>
      </c>
      <c r="K44" s="11">
        <v>1539.72</v>
      </c>
      <c r="L44" s="7">
        <v>44944</v>
      </c>
    </row>
    <row r="45" spans="1:12" x14ac:dyDescent="0.35">
      <c r="A45">
        <v>5116667954</v>
      </c>
      <c r="B45" t="s">
        <v>102</v>
      </c>
      <c r="C45">
        <v>1</v>
      </c>
      <c r="D45" s="6" t="s">
        <v>99</v>
      </c>
      <c r="E45" s="7">
        <v>44944</v>
      </c>
      <c r="F45" s="8">
        <v>2351647844</v>
      </c>
      <c r="G45" t="s">
        <v>100</v>
      </c>
      <c r="H45" s="9">
        <v>513.24</v>
      </c>
      <c r="I45" s="10">
        <v>4</v>
      </c>
      <c r="J45" s="9">
        <v>2052.96</v>
      </c>
      <c r="K45" s="11">
        <v>2052.96</v>
      </c>
      <c r="L45" s="7">
        <v>44944</v>
      </c>
    </row>
    <row r="46" spans="1:12" x14ac:dyDescent="0.35">
      <c r="A46">
        <v>5116654219</v>
      </c>
      <c r="B46" t="s">
        <v>103</v>
      </c>
      <c r="C46">
        <v>1</v>
      </c>
      <c r="D46" s="6" t="s">
        <v>104</v>
      </c>
      <c r="E46" s="7">
        <v>44939</v>
      </c>
      <c r="F46" s="8">
        <v>5003606166</v>
      </c>
      <c r="G46" t="s">
        <v>105</v>
      </c>
      <c r="H46" s="9">
        <v>1388.88</v>
      </c>
      <c r="I46" s="10">
        <v>54</v>
      </c>
      <c r="J46" s="9">
        <v>74999.520000000004</v>
      </c>
      <c r="K46" s="11">
        <v>138971.70000000001</v>
      </c>
      <c r="L46" s="7">
        <v>44939</v>
      </c>
    </row>
    <row r="47" spans="1:12" x14ac:dyDescent="0.35">
      <c r="A47">
        <v>5116654219</v>
      </c>
      <c r="B47" t="s">
        <v>106</v>
      </c>
      <c r="C47">
        <v>2</v>
      </c>
      <c r="D47" s="6" t="s">
        <v>107</v>
      </c>
      <c r="E47" s="7">
        <v>44939</v>
      </c>
      <c r="F47" s="8">
        <v>5003613845</v>
      </c>
      <c r="G47" t="s">
        <v>108</v>
      </c>
      <c r="H47" s="9">
        <v>45.480000000000004</v>
      </c>
      <c r="I47" s="10">
        <v>7</v>
      </c>
      <c r="J47" s="9">
        <v>318.36</v>
      </c>
      <c r="K47" s="11">
        <v>138971.70000000001</v>
      </c>
      <c r="L47" s="7">
        <v>44939</v>
      </c>
    </row>
    <row r="48" spans="1:12" x14ac:dyDescent="0.35">
      <c r="A48">
        <v>5116654219</v>
      </c>
      <c r="B48" t="s">
        <v>109</v>
      </c>
      <c r="C48">
        <v>3</v>
      </c>
      <c r="D48" s="6" t="s">
        <v>110</v>
      </c>
      <c r="E48" s="7">
        <v>44939</v>
      </c>
      <c r="F48" s="8">
        <v>5003618574</v>
      </c>
      <c r="G48" t="s">
        <v>111</v>
      </c>
      <c r="H48" s="9">
        <v>188.74</v>
      </c>
      <c r="I48" s="10">
        <v>157</v>
      </c>
      <c r="J48" s="9">
        <v>29632.18</v>
      </c>
      <c r="K48" s="11">
        <v>138971.70000000001</v>
      </c>
      <c r="L48" s="7">
        <v>44939</v>
      </c>
    </row>
    <row r="49" spans="1:12" x14ac:dyDescent="0.35">
      <c r="A49">
        <v>5116654219</v>
      </c>
      <c r="B49" t="s">
        <v>112</v>
      </c>
      <c r="C49">
        <v>4</v>
      </c>
      <c r="D49" s="6" t="s">
        <v>113</v>
      </c>
      <c r="E49" s="7">
        <v>44939</v>
      </c>
      <c r="F49" s="8">
        <v>5003618574</v>
      </c>
      <c r="G49" t="s">
        <v>114</v>
      </c>
      <c r="H49" s="9">
        <v>204.53</v>
      </c>
      <c r="I49" s="10">
        <v>60</v>
      </c>
      <c r="J49" s="9">
        <v>12271.8</v>
      </c>
      <c r="K49" s="11">
        <v>138971.70000000001</v>
      </c>
      <c r="L49" s="7">
        <v>44939</v>
      </c>
    </row>
    <row r="50" spans="1:12" x14ac:dyDescent="0.35">
      <c r="A50">
        <v>5116654219</v>
      </c>
      <c r="B50" t="s">
        <v>115</v>
      </c>
      <c r="C50">
        <v>5</v>
      </c>
      <c r="D50" s="6" t="s">
        <v>113</v>
      </c>
      <c r="E50" s="7">
        <v>44939</v>
      </c>
      <c r="F50" s="8">
        <v>5003619201</v>
      </c>
      <c r="G50" t="s">
        <v>116</v>
      </c>
      <c r="H50" s="9">
        <v>78.860000000000014</v>
      </c>
      <c r="I50" s="10">
        <v>228</v>
      </c>
      <c r="J50" s="9">
        <v>17980.080000000002</v>
      </c>
      <c r="K50" s="11">
        <v>138971.70000000001</v>
      </c>
      <c r="L50" s="7">
        <v>44939</v>
      </c>
    </row>
    <row r="51" spans="1:12" x14ac:dyDescent="0.35">
      <c r="A51">
        <v>5116654219</v>
      </c>
      <c r="B51" t="s">
        <v>117</v>
      </c>
      <c r="C51">
        <v>6</v>
      </c>
      <c r="D51" s="6" t="s">
        <v>107</v>
      </c>
      <c r="E51" s="7">
        <v>44939</v>
      </c>
      <c r="F51" s="8">
        <v>5003620622</v>
      </c>
      <c r="G51" t="s">
        <v>118</v>
      </c>
      <c r="H51" s="9">
        <v>56.18</v>
      </c>
      <c r="I51" s="10">
        <v>3</v>
      </c>
      <c r="J51" s="9">
        <v>168.54</v>
      </c>
      <c r="K51" s="11">
        <v>138971.70000000001</v>
      </c>
      <c r="L51" s="7">
        <v>44939</v>
      </c>
    </row>
    <row r="52" spans="1:12" x14ac:dyDescent="0.35">
      <c r="A52">
        <v>5116654219</v>
      </c>
      <c r="B52" t="s">
        <v>119</v>
      </c>
      <c r="C52">
        <v>7</v>
      </c>
      <c r="D52" s="6" t="s">
        <v>107</v>
      </c>
      <c r="E52" s="7">
        <v>44939</v>
      </c>
      <c r="F52" s="8">
        <v>5003620622</v>
      </c>
      <c r="G52" t="s">
        <v>120</v>
      </c>
      <c r="H52" s="9">
        <v>58.72</v>
      </c>
      <c r="I52" s="10">
        <v>1</v>
      </c>
      <c r="J52" s="9">
        <v>58.72</v>
      </c>
      <c r="K52" s="11">
        <v>138971.70000000001</v>
      </c>
      <c r="L52" s="7">
        <v>44939</v>
      </c>
    </row>
    <row r="53" spans="1:12" x14ac:dyDescent="0.35">
      <c r="A53">
        <v>5116654219</v>
      </c>
      <c r="B53" t="s">
        <v>121</v>
      </c>
      <c r="C53">
        <v>8</v>
      </c>
      <c r="D53" s="6" t="s">
        <v>107</v>
      </c>
      <c r="E53" s="7">
        <v>44939</v>
      </c>
      <c r="F53" s="8">
        <v>5003620622</v>
      </c>
      <c r="G53" t="s">
        <v>122</v>
      </c>
      <c r="H53" s="9">
        <v>50.47</v>
      </c>
      <c r="I53" s="10">
        <v>2</v>
      </c>
      <c r="J53" s="9">
        <v>100.94</v>
      </c>
      <c r="K53" s="11">
        <v>138971.70000000001</v>
      </c>
      <c r="L53" s="7">
        <v>44939</v>
      </c>
    </row>
    <row r="54" spans="1:12" x14ac:dyDescent="0.35">
      <c r="A54">
        <v>5116654219</v>
      </c>
      <c r="B54" t="s">
        <v>123</v>
      </c>
      <c r="C54">
        <v>9</v>
      </c>
      <c r="D54" s="6" t="s">
        <v>107</v>
      </c>
      <c r="E54" s="7">
        <v>44939</v>
      </c>
      <c r="F54" s="8">
        <v>5003620622</v>
      </c>
      <c r="G54" t="s">
        <v>124</v>
      </c>
      <c r="H54" s="9">
        <v>169.24</v>
      </c>
      <c r="I54" s="10">
        <v>2</v>
      </c>
      <c r="J54" s="9">
        <v>338.48</v>
      </c>
      <c r="K54" s="11">
        <v>138971.70000000001</v>
      </c>
      <c r="L54" s="7">
        <v>44939</v>
      </c>
    </row>
    <row r="55" spans="1:12" x14ac:dyDescent="0.35">
      <c r="A55">
        <v>5116654219</v>
      </c>
      <c r="B55" t="s">
        <v>125</v>
      </c>
      <c r="C55">
        <v>10</v>
      </c>
      <c r="D55" s="6" t="s">
        <v>107</v>
      </c>
      <c r="E55" s="7">
        <v>44939</v>
      </c>
      <c r="F55" s="8">
        <v>5003620622</v>
      </c>
      <c r="G55" t="s">
        <v>126</v>
      </c>
      <c r="H55" s="9">
        <v>207.56</v>
      </c>
      <c r="I55" s="10">
        <v>2</v>
      </c>
      <c r="J55" s="9">
        <v>415.12</v>
      </c>
      <c r="K55" s="11">
        <v>138971.70000000001</v>
      </c>
      <c r="L55" s="7">
        <v>44939</v>
      </c>
    </row>
    <row r="56" spans="1:12" x14ac:dyDescent="0.35">
      <c r="A56">
        <v>5116654219</v>
      </c>
      <c r="B56" t="s">
        <v>127</v>
      </c>
      <c r="C56">
        <v>11</v>
      </c>
      <c r="D56" s="6" t="s">
        <v>107</v>
      </c>
      <c r="E56" s="7">
        <v>44939</v>
      </c>
      <c r="F56" s="8">
        <v>5003620622</v>
      </c>
      <c r="G56" t="s">
        <v>128</v>
      </c>
      <c r="H56" s="9">
        <v>23.98</v>
      </c>
      <c r="I56" s="10">
        <v>1</v>
      </c>
      <c r="J56" s="9">
        <v>23.98</v>
      </c>
      <c r="K56" s="11">
        <v>138971.70000000001</v>
      </c>
      <c r="L56" s="7">
        <v>44939</v>
      </c>
    </row>
    <row r="57" spans="1:12" x14ac:dyDescent="0.35">
      <c r="A57">
        <v>5116654219</v>
      </c>
      <c r="B57" t="s">
        <v>129</v>
      </c>
      <c r="C57">
        <v>12</v>
      </c>
      <c r="D57" s="6" t="s">
        <v>107</v>
      </c>
      <c r="E57" s="7">
        <v>44939</v>
      </c>
      <c r="F57" s="8">
        <v>5003620622</v>
      </c>
      <c r="G57" t="s">
        <v>130</v>
      </c>
      <c r="H57" s="9">
        <v>43.98</v>
      </c>
      <c r="I57" s="10">
        <v>1</v>
      </c>
      <c r="J57" s="9">
        <v>43.98</v>
      </c>
      <c r="K57" s="11">
        <v>138971.70000000001</v>
      </c>
      <c r="L57" s="7">
        <v>44939</v>
      </c>
    </row>
    <row r="58" spans="1:12" x14ac:dyDescent="0.35">
      <c r="A58">
        <v>5116654219</v>
      </c>
      <c r="B58" t="s">
        <v>131</v>
      </c>
      <c r="C58">
        <v>13</v>
      </c>
      <c r="D58" s="6" t="s">
        <v>107</v>
      </c>
      <c r="E58" s="7">
        <v>44939</v>
      </c>
      <c r="F58" s="8">
        <v>5003620622</v>
      </c>
      <c r="G58" t="s">
        <v>132</v>
      </c>
      <c r="H58" s="9">
        <v>28.28</v>
      </c>
      <c r="I58" s="10">
        <v>1</v>
      </c>
      <c r="J58" s="9">
        <v>28.28</v>
      </c>
      <c r="K58" s="11">
        <v>138971.70000000001</v>
      </c>
      <c r="L58" s="7">
        <v>44939</v>
      </c>
    </row>
    <row r="59" spans="1:12" x14ac:dyDescent="0.35">
      <c r="A59">
        <v>5116654219</v>
      </c>
      <c r="B59" t="s">
        <v>133</v>
      </c>
      <c r="C59">
        <v>14</v>
      </c>
      <c r="D59" s="6" t="s">
        <v>107</v>
      </c>
      <c r="E59" s="7">
        <v>44939</v>
      </c>
      <c r="F59" s="8">
        <v>5003620622</v>
      </c>
      <c r="G59" t="s">
        <v>116</v>
      </c>
      <c r="H59" s="9">
        <v>78.45</v>
      </c>
      <c r="I59" s="10">
        <v>2</v>
      </c>
      <c r="J59" s="9">
        <v>156.9</v>
      </c>
      <c r="K59" s="11">
        <v>138971.70000000001</v>
      </c>
      <c r="L59" s="7">
        <v>44939</v>
      </c>
    </row>
    <row r="60" spans="1:12" x14ac:dyDescent="0.35">
      <c r="A60">
        <v>5116654219</v>
      </c>
      <c r="B60" t="s">
        <v>134</v>
      </c>
      <c r="C60">
        <v>15</v>
      </c>
      <c r="D60" s="6" t="s">
        <v>107</v>
      </c>
      <c r="E60" s="7">
        <v>44939</v>
      </c>
      <c r="F60" s="8">
        <v>5003620622</v>
      </c>
      <c r="G60" t="s">
        <v>114</v>
      </c>
      <c r="H60" s="9">
        <v>204.54999999999998</v>
      </c>
      <c r="I60" s="10">
        <v>3</v>
      </c>
      <c r="J60" s="9">
        <v>613.65</v>
      </c>
      <c r="K60" s="11">
        <v>138971.70000000001</v>
      </c>
      <c r="L60" s="7">
        <v>44939</v>
      </c>
    </row>
    <row r="61" spans="1:12" x14ac:dyDescent="0.35">
      <c r="A61">
        <v>5116654219</v>
      </c>
      <c r="B61" t="s">
        <v>135</v>
      </c>
      <c r="C61">
        <v>16</v>
      </c>
      <c r="D61" s="6" t="s">
        <v>107</v>
      </c>
      <c r="E61" s="7">
        <v>44939</v>
      </c>
      <c r="F61" s="8">
        <v>5003620622</v>
      </c>
      <c r="G61" t="s">
        <v>45</v>
      </c>
      <c r="H61" s="9">
        <v>93.4</v>
      </c>
      <c r="I61" s="10">
        <v>1</v>
      </c>
      <c r="J61" s="9">
        <v>93.4</v>
      </c>
      <c r="K61" s="11">
        <v>138971.70000000001</v>
      </c>
      <c r="L61" s="7">
        <v>44939</v>
      </c>
    </row>
    <row r="62" spans="1:12" x14ac:dyDescent="0.35">
      <c r="A62">
        <v>5116654219</v>
      </c>
      <c r="B62" t="s">
        <v>136</v>
      </c>
      <c r="C62">
        <v>17</v>
      </c>
      <c r="D62" s="6" t="s">
        <v>107</v>
      </c>
      <c r="E62" s="7">
        <v>44939</v>
      </c>
      <c r="F62" s="8">
        <v>5003620622</v>
      </c>
      <c r="G62" t="s">
        <v>137</v>
      </c>
      <c r="H62" s="9">
        <v>12.36</v>
      </c>
      <c r="I62" s="10">
        <v>2</v>
      </c>
      <c r="J62" s="9">
        <v>24.72</v>
      </c>
      <c r="K62" s="11">
        <v>138971.70000000001</v>
      </c>
      <c r="L62" s="7">
        <v>44939</v>
      </c>
    </row>
    <row r="63" spans="1:12" x14ac:dyDescent="0.35">
      <c r="A63">
        <v>5116654219</v>
      </c>
      <c r="B63" t="s">
        <v>138</v>
      </c>
      <c r="C63">
        <v>18</v>
      </c>
      <c r="D63" s="6" t="s">
        <v>107</v>
      </c>
      <c r="E63" s="7">
        <v>44939</v>
      </c>
      <c r="F63" s="8">
        <v>5003620622</v>
      </c>
      <c r="G63" t="s">
        <v>139</v>
      </c>
      <c r="H63" s="9">
        <v>5.48</v>
      </c>
      <c r="I63" s="10">
        <v>1</v>
      </c>
      <c r="J63" s="9">
        <v>5.48</v>
      </c>
      <c r="K63" s="11">
        <v>138971.70000000001</v>
      </c>
      <c r="L63" s="7">
        <v>44939</v>
      </c>
    </row>
    <row r="64" spans="1:12" x14ac:dyDescent="0.35">
      <c r="A64">
        <v>5116654219</v>
      </c>
      <c r="B64" t="s">
        <v>140</v>
      </c>
      <c r="C64">
        <v>19</v>
      </c>
      <c r="D64" s="6" t="s">
        <v>107</v>
      </c>
      <c r="E64" s="7">
        <v>44939</v>
      </c>
      <c r="F64" s="8">
        <v>5003620622</v>
      </c>
      <c r="G64" t="s">
        <v>141</v>
      </c>
      <c r="H64" s="9">
        <v>11.74</v>
      </c>
      <c r="I64" s="10">
        <v>2</v>
      </c>
      <c r="J64" s="9">
        <v>23.48</v>
      </c>
      <c r="K64" s="11">
        <v>138971.70000000001</v>
      </c>
      <c r="L64" s="7">
        <v>44939</v>
      </c>
    </row>
    <row r="65" spans="1:12" x14ac:dyDescent="0.35">
      <c r="A65">
        <v>5116654219</v>
      </c>
      <c r="B65" t="s">
        <v>142</v>
      </c>
      <c r="C65">
        <v>20</v>
      </c>
      <c r="D65" s="6" t="s">
        <v>107</v>
      </c>
      <c r="E65" s="7">
        <v>44939</v>
      </c>
      <c r="F65" s="8">
        <v>5003620622</v>
      </c>
      <c r="G65" t="s">
        <v>143</v>
      </c>
      <c r="H65" s="9">
        <v>4.59</v>
      </c>
      <c r="I65" s="10">
        <v>1</v>
      </c>
      <c r="J65" s="9">
        <v>4.59</v>
      </c>
      <c r="K65" s="11">
        <v>138971.70000000001</v>
      </c>
      <c r="L65" s="7">
        <v>44939</v>
      </c>
    </row>
    <row r="66" spans="1:12" x14ac:dyDescent="0.35">
      <c r="A66">
        <v>5116654219</v>
      </c>
      <c r="B66" t="s">
        <v>144</v>
      </c>
      <c r="C66">
        <v>21</v>
      </c>
      <c r="D66" s="6" t="s">
        <v>107</v>
      </c>
      <c r="E66" s="7">
        <v>44939</v>
      </c>
      <c r="F66" s="8">
        <v>5003620622</v>
      </c>
      <c r="G66" t="s">
        <v>145</v>
      </c>
      <c r="H66" s="9">
        <v>11.01</v>
      </c>
      <c r="I66" s="10">
        <v>1</v>
      </c>
      <c r="J66" s="9">
        <v>11.01</v>
      </c>
      <c r="K66" s="11">
        <v>138971.70000000001</v>
      </c>
      <c r="L66" s="7">
        <v>44939</v>
      </c>
    </row>
    <row r="67" spans="1:12" x14ac:dyDescent="0.35">
      <c r="A67">
        <v>5116654219</v>
      </c>
      <c r="B67" t="s">
        <v>146</v>
      </c>
      <c r="C67">
        <v>22</v>
      </c>
      <c r="D67" s="6" t="s">
        <v>107</v>
      </c>
      <c r="E67" s="7">
        <v>44939</v>
      </c>
      <c r="F67" s="8">
        <v>5003620622</v>
      </c>
      <c r="G67" t="s">
        <v>147</v>
      </c>
      <c r="H67" s="9">
        <v>273.21999999999997</v>
      </c>
      <c r="I67" s="10">
        <v>3</v>
      </c>
      <c r="J67" s="9">
        <v>819.66</v>
      </c>
      <c r="K67" s="11">
        <v>138971.70000000001</v>
      </c>
      <c r="L67" s="7">
        <v>44939</v>
      </c>
    </row>
    <row r="68" spans="1:12" x14ac:dyDescent="0.35">
      <c r="A68">
        <v>5116654219</v>
      </c>
      <c r="B68" t="s">
        <v>148</v>
      </c>
      <c r="C68">
        <v>23</v>
      </c>
      <c r="D68" s="6" t="s">
        <v>107</v>
      </c>
      <c r="E68" s="7">
        <v>44939</v>
      </c>
      <c r="F68" s="8">
        <v>5003620622</v>
      </c>
      <c r="G68" t="s">
        <v>149</v>
      </c>
      <c r="H68" s="9">
        <v>40.369999999999997</v>
      </c>
      <c r="I68" s="10">
        <v>1</v>
      </c>
      <c r="J68" s="9">
        <v>40.369999999999997</v>
      </c>
      <c r="K68" s="11">
        <v>138971.70000000001</v>
      </c>
      <c r="L68" s="7">
        <v>44939</v>
      </c>
    </row>
    <row r="69" spans="1:12" x14ac:dyDescent="0.35">
      <c r="A69">
        <v>5116654219</v>
      </c>
      <c r="B69" t="s">
        <v>150</v>
      </c>
      <c r="C69">
        <v>24</v>
      </c>
      <c r="D69" s="6" t="s">
        <v>107</v>
      </c>
      <c r="E69" s="7">
        <v>44939</v>
      </c>
      <c r="F69" s="8">
        <v>5003620622</v>
      </c>
      <c r="G69" t="s">
        <v>151</v>
      </c>
      <c r="H69" s="9">
        <v>40.56</v>
      </c>
      <c r="I69" s="10">
        <v>5</v>
      </c>
      <c r="J69" s="9">
        <v>202.8</v>
      </c>
      <c r="K69" s="11">
        <v>138971.70000000001</v>
      </c>
      <c r="L69" s="7">
        <v>44939</v>
      </c>
    </row>
    <row r="70" spans="1:12" x14ac:dyDescent="0.35">
      <c r="A70">
        <v>5116654219</v>
      </c>
      <c r="B70" t="s">
        <v>152</v>
      </c>
      <c r="C70">
        <v>25</v>
      </c>
      <c r="D70" s="6" t="s">
        <v>107</v>
      </c>
      <c r="E70" s="7">
        <v>44939</v>
      </c>
      <c r="F70" s="8">
        <v>5003620622</v>
      </c>
      <c r="G70" t="s">
        <v>149</v>
      </c>
      <c r="H70" s="9">
        <v>45.82</v>
      </c>
      <c r="I70" s="10">
        <v>13</v>
      </c>
      <c r="J70" s="9">
        <v>595.66</v>
      </c>
      <c r="K70" s="11">
        <v>138971.70000000001</v>
      </c>
      <c r="L70" s="7">
        <v>44939</v>
      </c>
    </row>
    <row r="71" spans="1:12" x14ac:dyDescent="0.35">
      <c r="A71">
        <v>5116652061</v>
      </c>
      <c r="B71" t="s">
        <v>153</v>
      </c>
      <c r="C71">
        <v>1</v>
      </c>
      <c r="D71" s="6" t="s">
        <v>154</v>
      </c>
      <c r="E71" s="7">
        <v>44938</v>
      </c>
      <c r="F71" s="8">
        <v>5003391662</v>
      </c>
      <c r="G71" t="s">
        <v>155</v>
      </c>
      <c r="H71" s="9">
        <v>64.91</v>
      </c>
      <c r="I71" s="10">
        <v>30</v>
      </c>
      <c r="J71" s="9">
        <v>1947.3</v>
      </c>
      <c r="K71" s="11">
        <v>1947.3</v>
      </c>
      <c r="L71" s="7">
        <v>44939</v>
      </c>
    </row>
    <row r="72" spans="1:12" x14ac:dyDescent="0.35">
      <c r="A72">
        <v>5116654202</v>
      </c>
      <c r="B72" t="s">
        <v>156</v>
      </c>
      <c r="C72">
        <v>1</v>
      </c>
      <c r="D72" s="6" t="s">
        <v>345</v>
      </c>
      <c r="E72" s="7">
        <v>44939</v>
      </c>
      <c r="F72" s="8" t="s">
        <v>157</v>
      </c>
      <c r="G72" t="s">
        <v>158</v>
      </c>
      <c r="H72" s="9">
        <v>339.73</v>
      </c>
      <c r="I72" s="10">
        <v>5</v>
      </c>
      <c r="J72" s="9">
        <v>1698.65</v>
      </c>
      <c r="K72" s="11">
        <v>39337.83</v>
      </c>
      <c r="L72" s="7">
        <v>44939</v>
      </c>
    </row>
    <row r="73" spans="1:12" x14ac:dyDescent="0.35">
      <c r="A73">
        <v>5116654202</v>
      </c>
      <c r="B73" t="s">
        <v>159</v>
      </c>
      <c r="C73">
        <v>2</v>
      </c>
      <c r="D73" s="6" t="s">
        <v>345</v>
      </c>
      <c r="E73" s="7">
        <v>44939</v>
      </c>
      <c r="F73" s="8" t="s">
        <v>157</v>
      </c>
      <c r="G73" t="s">
        <v>160</v>
      </c>
      <c r="H73" s="9">
        <v>685.72</v>
      </c>
      <c r="I73" s="10">
        <v>8</v>
      </c>
      <c r="J73" s="9">
        <v>5485.76</v>
      </c>
      <c r="K73" s="11">
        <v>39337.83</v>
      </c>
      <c r="L73" s="7">
        <v>44939</v>
      </c>
    </row>
    <row r="74" spans="1:12" x14ac:dyDescent="0.35">
      <c r="A74">
        <v>5116654202</v>
      </c>
      <c r="B74" t="s">
        <v>161</v>
      </c>
      <c r="C74">
        <v>3</v>
      </c>
      <c r="D74" s="6" t="s">
        <v>345</v>
      </c>
      <c r="E74" s="7">
        <v>44939</v>
      </c>
      <c r="F74" s="8" t="s">
        <v>157</v>
      </c>
      <c r="G74" t="s">
        <v>162</v>
      </c>
      <c r="H74" s="9">
        <v>1127.1500000000001</v>
      </c>
      <c r="I74" s="10">
        <v>1</v>
      </c>
      <c r="J74" s="9">
        <v>1127.1500000000001</v>
      </c>
      <c r="K74" s="11">
        <v>39337.83</v>
      </c>
      <c r="L74" s="7">
        <v>44939</v>
      </c>
    </row>
    <row r="75" spans="1:12" x14ac:dyDescent="0.35">
      <c r="A75">
        <v>5116654202</v>
      </c>
      <c r="B75" t="s">
        <v>163</v>
      </c>
      <c r="C75">
        <v>4</v>
      </c>
      <c r="D75" s="6" t="s">
        <v>345</v>
      </c>
      <c r="E75" s="7">
        <v>44939</v>
      </c>
      <c r="F75" s="8" t="s">
        <v>157</v>
      </c>
      <c r="G75" t="s">
        <v>164</v>
      </c>
      <c r="H75" s="9">
        <v>1043.19</v>
      </c>
      <c r="I75" s="10">
        <v>1</v>
      </c>
      <c r="J75" s="9">
        <v>1043.19</v>
      </c>
      <c r="K75" s="11">
        <v>39337.83</v>
      </c>
      <c r="L75" s="7">
        <v>44939</v>
      </c>
    </row>
    <row r="76" spans="1:12" x14ac:dyDescent="0.35">
      <c r="A76">
        <v>5116654202</v>
      </c>
      <c r="B76" t="s">
        <v>165</v>
      </c>
      <c r="C76">
        <v>5</v>
      </c>
      <c r="D76" s="6" t="s">
        <v>345</v>
      </c>
      <c r="E76" s="7">
        <v>44939</v>
      </c>
      <c r="F76" s="8" t="s">
        <v>157</v>
      </c>
      <c r="G76" t="s">
        <v>160</v>
      </c>
      <c r="H76" s="9">
        <v>685.71999999999991</v>
      </c>
      <c r="I76" s="10">
        <v>24</v>
      </c>
      <c r="J76" s="9">
        <v>16457.28</v>
      </c>
      <c r="K76" s="11">
        <v>39337.83</v>
      </c>
      <c r="L76" s="7">
        <v>44939</v>
      </c>
    </row>
    <row r="77" spans="1:12" x14ac:dyDescent="0.35">
      <c r="A77">
        <v>5116654202</v>
      </c>
      <c r="B77" t="s">
        <v>166</v>
      </c>
      <c r="C77">
        <v>6</v>
      </c>
      <c r="D77" s="6" t="s">
        <v>345</v>
      </c>
      <c r="E77" s="7">
        <v>44939</v>
      </c>
      <c r="F77" s="8" t="s">
        <v>157</v>
      </c>
      <c r="G77" t="s">
        <v>162</v>
      </c>
      <c r="H77" s="9">
        <v>1127.1499999999999</v>
      </c>
      <c r="I77" s="10">
        <v>12</v>
      </c>
      <c r="J77" s="9">
        <v>13525.8</v>
      </c>
      <c r="K77" s="11">
        <v>39337.83</v>
      </c>
      <c r="L77" s="7">
        <v>44939</v>
      </c>
    </row>
    <row r="78" spans="1:12" x14ac:dyDescent="0.35">
      <c r="A78">
        <v>5116655653</v>
      </c>
      <c r="B78" t="s">
        <v>167</v>
      </c>
      <c r="C78">
        <v>1</v>
      </c>
      <c r="D78" s="6" t="s">
        <v>168</v>
      </c>
      <c r="E78" s="7">
        <v>44939</v>
      </c>
      <c r="F78" s="8">
        <v>2351663396</v>
      </c>
      <c r="G78" t="s">
        <v>169</v>
      </c>
      <c r="H78" s="9">
        <v>17.02</v>
      </c>
      <c r="I78" s="10">
        <v>12</v>
      </c>
      <c r="J78" s="9">
        <v>204.24</v>
      </c>
      <c r="K78" s="11">
        <v>3110.24</v>
      </c>
      <c r="L78" s="7">
        <v>44939</v>
      </c>
    </row>
    <row r="79" spans="1:12" x14ac:dyDescent="0.35">
      <c r="A79">
        <v>5116655653</v>
      </c>
      <c r="B79" t="s">
        <v>170</v>
      </c>
      <c r="C79">
        <v>2</v>
      </c>
      <c r="D79" s="6" t="s">
        <v>171</v>
      </c>
      <c r="E79" s="7">
        <v>44939</v>
      </c>
      <c r="F79" s="8">
        <v>2351668234</v>
      </c>
      <c r="G79" t="s">
        <v>95</v>
      </c>
      <c r="H79" s="9">
        <v>260.35000000000002</v>
      </c>
      <c r="I79" s="10">
        <v>10</v>
      </c>
      <c r="J79" s="9">
        <v>2603.5</v>
      </c>
      <c r="K79" s="11">
        <v>3110.24</v>
      </c>
      <c r="L79" s="7">
        <v>44939</v>
      </c>
    </row>
    <row r="80" spans="1:12" x14ac:dyDescent="0.35">
      <c r="A80">
        <v>5116655653</v>
      </c>
      <c r="B80" t="s">
        <v>172</v>
      </c>
      <c r="C80">
        <v>3</v>
      </c>
      <c r="D80" s="6" t="s">
        <v>168</v>
      </c>
      <c r="E80" s="7">
        <v>44939</v>
      </c>
      <c r="F80" s="8">
        <v>2351675118</v>
      </c>
      <c r="G80" t="s">
        <v>173</v>
      </c>
      <c r="H80" s="9">
        <v>30.25</v>
      </c>
      <c r="I80" s="10">
        <v>10</v>
      </c>
      <c r="J80" s="9">
        <v>302.5</v>
      </c>
      <c r="K80" s="11">
        <v>3110.24</v>
      </c>
      <c r="L80" s="7">
        <v>44939</v>
      </c>
    </row>
    <row r="81" spans="1:12" x14ac:dyDescent="0.35">
      <c r="A81">
        <v>5116660347</v>
      </c>
      <c r="B81" t="s">
        <v>178</v>
      </c>
      <c r="C81">
        <v>1</v>
      </c>
      <c r="D81" s="6" t="s">
        <v>179</v>
      </c>
      <c r="E81" s="7">
        <v>44942</v>
      </c>
      <c r="F81" s="8">
        <v>5003437452</v>
      </c>
      <c r="H81" s="9">
        <v>112.4</v>
      </c>
      <c r="I81" s="10">
        <v>1</v>
      </c>
      <c r="J81" s="9">
        <v>112.4</v>
      </c>
      <c r="K81" s="11">
        <v>41026.19</v>
      </c>
      <c r="L81" s="7">
        <v>44942</v>
      </c>
    </row>
    <row r="82" spans="1:12" x14ac:dyDescent="0.35">
      <c r="A82">
        <v>5116660347</v>
      </c>
      <c r="B82" t="s">
        <v>180</v>
      </c>
      <c r="C82">
        <v>2</v>
      </c>
      <c r="D82" s="6" t="s">
        <v>181</v>
      </c>
      <c r="E82" s="7">
        <v>44942</v>
      </c>
      <c r="F82" s="8">
        <v>5003611213</v>
      </c>
      <c r="G82" t="s">
        <v>182</v>
      </c>
      <c r="H82" s="9">
        <v>338.57</v>
      </c>
      <c r="I82" s="10">
        <v>41</v>
      </c>
      <c r="J82" s="9">
        <v>13881.37</v>
      </c>
      <c r="K82" s="11">
        <v>41026.19</v>
      </c>
      <c r="L82" s="7">
        <v>44942</v>
      </c>
    </row>
    <row r="83" spans="1:12" x14ac:dyDescent="0.35">
      <c r="A83">
        <v>5116660347</v>
      </c>
      <c r="B83" t="s">
        <v>183</v>
      </c>
      <c r="C83">
        <v>3</v>
      </c>
      <c r="D83" s="6" t="s">
        <v>181</v>
      </c>
      <c r="E83" s="7">
        <v>44942</v>
      </c>
      <c r="F83" s="8">
        <v>5003611224</v>
      </c>
      <c r="G83" t="s">
        <v>184</v>
      </c>
      <c r="H83" s="9">
        <v>99.55</v>
      </c>
      <c r="I83" s="10">
        <v>48</v>
      </c>
      <c r="J83" s="9">
        <v>4778.3999999999996</v>
      </c>
      <c r="K83" s="11">
        <v>41026.19</v>
      </c>
      <c r="L83" s="7">
        <v>44942</v>
      </c>
    </row>
    <row r="84" spans="1:12" x14ac:dyDescent="0.35">
      <c r="A84">
        <v>5116660347</v>
      </c>
      <c r="B84" t="s">
        <v>185</v>
      </c>
      <c r="C84">
        <v>4</v>
      </c>
      <c r="D84" s="6" t="s">
        <v>181</v>
      </c>
      <c r="E84" s="7">
        <v>44942</v>
      </c>
      <c r="F84" s="8">
        <v>5003614304</v>
      </c>
      <c r="G84" t="s">
        <v>186</v>
      </c>
      <c r="H84" s="9">
        <v>319.02</v>
      </c>
      <c r="I84" s="10">
        <v>18</v>
      </c>
      <c r="J84" s="9">
        <v>5742.36</v>
      </c>
      <c r="K84" s="11">
        <v>41026.19</v>
      </c>
      <c r="L84" s="7">
        <v>44942</v>
      </c>
    </row>
    <row r="85" spans="1:12" x14ac:dyDescent="0.35">
      <c r="A85">
        <v>5116660347</v>
      </c>
      <c r="B85" t="s">
        <v>187</v>
      </c>
      <c r="C85">
        <v>5</v>
      </c>
      <c r="D85" s="6" t="s">
        <v>188</v>
      </c>
      <c r="E85" s="7">
        <v>44942</v>
      </c>
      <c r="F85" s="8">
        <v>5003618561</v>
      </c>
      <c r="G85" t="s">
        <v>189</v>
      </c>
      <c r="H85" s="9">
        <v>85.1</v>
      </c>
      <c r="I85" s="10">
        <v>21</v>
      </c>
      <c r="J85" s="9">
        <v>1787.1</v>
      </c>
      <c r="K85" s="11">
        <v>41026.19</v>
      </c>
      <c r="L85" s="7">
        <v>44942</v>
      </c>
    </row>
    <row r="86" spans="1:12" x14ac:dyDescent="0.35">
      <c r="A86">
        <v>5116660347</v>
      </c>
      <c r="B86" t="s">
        <v>190</v>
      </c>
      <c r="C86">
        <v>6</v>
      </c>
      <c r="D86" s="6" t="s">
        <v>188</v>
      </c>
      <c r="E86" s="7">
        <v>44942</v>
      </c>
      <c r="F86" s="8">
        <v>5003630470</v>
      </c>
      <c r="G86" t="s">
        <v>191</v>
      </c>
      <c r="H86" s="9">
        <v>102.18</v>
      </c>
      <c r="I86" s="10">
        <v>4</v>
      </c>
      <c r="J86" s="9">
        <v>408.72</v>
      </c>
      <c r="K86" s="11">
        <v>41026.19</v>
      </c>
      <c r="L86" s="7">
        <v>44942</v>
      </c>
    </row>
    <row r="87" spans="1:12" x14ac:dyDescent="0.35">
      <c r="A87">
        <v>5116660347</v>
      </c>
      <c r="B87" t="s">
        <v>192</v>
      </c>
      <c r="C87">
        <v>7</v>
      </c>
      <c r="D87" s="6" t="s">
        <v>181</v>
      </c>
      <c r="E87" s="7">
        <v>44942</v>
      </c>
      <c r="F87" s="8">
        <v>5003640603</v>
      </c>
      <c r="G87" t="s">
        <v>193</v>
      </c>
      <c r="H87" s="9">
        <v>411.77</v>
      </c>
      <c r="I87" s="10">
        <v>32</v>
      </c>
      <c r="J87" s="9">
        <v>13176.64</v>
      </c>
      <c r="K87" s="11">
        <v>41026.19</v>
      </c>
      <c r="L87" s="7">
        <v>44942</v>
      </c>
    </row>
    <row r="88" spans="1:12" x14ac:dyDescent="0.35">
      <c r="A88">
        <v>5116660347</v>
      </c>
      <c r="B88" t="s">
        <v>194</v>
      </c>
      <c r="C88">
        <v>8</v>
      </c>
      <c r="D88" s="6" t="s">
        <v>195</v>
      </c>
      <c r="E88" s="7">
        <v>44941</v>
      </c>
      <c r="F88" s="8">
        <v>5003642177</v>
      </c>
      <c r="G88" t="s">
        <v>196</v>
      </c>
      <c r="H88" s="9">
        <v>113.92</v>
      </c>
      <c r="I88" s="10">
        <v>10</v>
      </c>
      <c r="J88" s="9">
        <v>1139.2</v>
      </c>
      <c r="K88" s="11">
        <v>41026.19</v>
      </c>
      <c r="L88" s="7">
        <v>44942</v>
      </c>
    </row>
    <row r="89" spans="1:12" x14ac:dyDescent="0.35">
      <c r="A89">
        <v>5116655369</v>
      </c>
      <c r="B89" t="s">
        <v>197</v>
      </c>
      <c r="C89">
        <v>1</v>
      </c>
      <c r="D89" s="6" t="s">
        <v>198</v>
      </c>
      <c r="E89" s="7">
        <v>44939</v>
      </c>
      <c r="F89" s="8">
        <v>5003618674</v>
      </c>
      <c r="G89" t="s">
        <v>199</v>
      </c>
      <c r="H89" s="9">
        <v>78.86</v>
      </c>
      <c r="I89" s="10">
        <v>4</v>
      </c>
      <c r="J89" s="9">
        <v>315.44</v>
      </c>
      <c r="K89" s="11">
        <v>315.44</v>
      </c>
      <c r="L89" s="7">
        <v>44942</v>
      </c>
    </row>
    <row r="90" spans="1:12" x14ac:dyDescent="0.35">
      <c r="A90">
        <v>5116654978</v>
      </c>
      <c r="B90" t="s">
        <v>200</v>
      </c>
      <c r="C90">
        <v>1</v>
      </c>
      <c r="D90" s="6" t="s">
        <v>201</v>
      </c>
      <c r="E90" s="7">
        <v>44939</v>
      </c>
      <c r="F90" s="8">
        <v>5003587373</v>
      </c>
      <c r="G90" t="s">
        <v>202</v>
      </c>
      <c r="H90" s="9">
        <v>13.75</v>
      </c>
      <c r="I90" s="10">
        <v>2</v>
      </c>
      <c r="J90" s="9">
        <v>27.5</v>
      </c>
      <c r="K90" s="11">
        <v>27.5</v>
      </c>
      <c r="L90" s="7">
        <v>44942</v>
      </c>
    </row>
    <row r="91" spans="1:12" x14ac:dyDescent="0.35">
      <c r="A91">
        <v>5116655380</v>
      </c>
      <c r="B91" t="s">
        <v>203</v>
      </c>
      <c r="C91">
        <v>1</v>
      </c>
      <c r="D91" s="6" t="s">
        <v>204</v>
      </c>
      <c r="E91" s="7">
        <v>44939</v>
      </c>
      <c r="F91" s="8">
        <v>5003497824</v>
      </c>
      <c r="G91" t="s">
        <v>205</v>
      </c>
      <c r="H91" s="9">
        <v>59</v>
      </c>
      <c r="I91" s="10">
        <v>5</v>
      </c>
      <c r="J91" s="9">
        <v>295</v>
      </c>
      <c r="K91" s="11">
        <v>792.75</v>
      </c>
      <c r="L91" s="7">
        <v>44939</v>
      </c>
    </row>
    <row r="92" spans="1:12" x14ac:dyDescent="0.35">
      <c r="A92">
        <v>5116655380</v>
      </c>
      <c r="B92" t="s">
        <v>206</v>
      </c>
      <c r="C92">
        <v>2</v>
      </c>
      <c r="D92" s="6" t="s">
        <v>207</v>
      </c>
      <c r="E92" s="7">
        <v>44939</v>
      </c>
      <c r="F92" s="8">
        <v>5003642272</v>
      </c>
      <c r="G92" t="s">
        <v>184</v>
      </c>
      <c r="H92" s="9">
        <v>99.55</v>
      </c>
      <c r="I92" s="10">
        <v>5</v>
      </c>
      <c r="J92" s="9">
        <v>497.75</v>
      </c>
      <c r="K92" s="11">
        <v>792.75</v>
      </c>
      <c r="L92" s="7">
        <v>44939</v>
      </c>
    </row>
    <row r="93" spans="1:12" x14ac:dyDescent="0.35">
      <c r="A93">
        <v>5116664073</v>
      </c>
      <c r="B93" t="s">
        <v>208</v>
      </c>
      <c r="C93">
        <v>1</v>
      </c>
      <c r="D93" s="6" t="s">
        <v>209</v>
      </c>
      <c r="E93" s="7">
        <v>44943</v>
      </c>
      <c r="F93" s="8">
        <v>5003400860</v>
      </c>
      <c r="G93" t="s">
        <v>210</v>
      </c>
      <c r="H93" s="9">
        <v>456.51000000000005</v>
      </c>
      <c r="I93" s="10">
        <v>14</v>
      </c>
      <c r="J93" s="9">
        <v>6391.14</v>
      </c>
      <c r="K93" s="11">
        <v>6391.14</v>
      </c>
      <c r="L93" s="7">
        <v>44939</v>
      </c>
    </row>
    <row r="94" spans="1:12" x14ac:dyDescent="0.35">
      <c r="A94">
        <v>5116664183</v>
      </c>
      <c r="B94" t="s">
        <v>211</v>
      </c>
      <c r="C94">
        <v>1</v>
      </c>
      <c r="D94" s="6" t="s">
        <v>31</v>
      </c>
      <c r="E94" s="7">
        <v>44943</v>
      </c>
      <c r="F94" s="8">
        <v>5003605724</v>
      </c>
      <c r="G94" t="s">
        <v>212</v>
      </c>
      <c r="H94" s="9">
        <v>3.93</v>
      </c>
      <c r="I94" s="10">
        <v>30</v>
      </c>
      <c r="J94" s="9">
        <v>117.9</v>
      </c>
      <c r="K94" s="11">
        <v>117.9</v>
      </c>
      <c r="L94" s="7">
        <v>44939</v>
      </c>
    </row>
    <row r="95" spans="1:12" x14ac:dyDescent="0.35">
      <c r="A95">
        <v>5116664185</v>
      </c>
      <c r="B95" t="s">
        <v>213</v>
      </c>
      <c r="C95">
        <v>1</v>
      </c>
      <c r="D95" s="6" t="s">
        <v>214</v>
      </c>
      <c r="E95" s="7">
        <v>44943</v>
      </c>
      <c r="F95" s="8">
        <v>5003614416</v>
      </c>
      <c r="G95" t="s">
        <v>61</v>
      </c>
      <c r="H95" s="9">
        <v>569.52</v>
      </c>
      <c r="I95" s="10">
        <v>45</v>
      </c>
      <c r="J95" s="9">
        <v>25628.400000000001</v>
      </c>
      <c r="K95" s="11">
        <v>25628.400000000001</v>
      </c>
      <c r="L95" s="7">
        <v>44939</v>
      </c>
    </row>
    <row r="96" spans="1:12" x14ac:dyDescent="0.35">
      <c r="A96">
        <v>5116664192</v>
      </c>
      <c r="B96" t="s">
        <v>215</v>
      </c>
      <c r="C96">
        <v>1</v>
      </c>
      <c r="D96" s="6" t="s">
        <v>216</v>
      </c>
      <c r="E96" s="7">
        <v>44942</v>
      </c>
      <c r="F96" s="8">
        <v>5003580407</v>
      </c>
      <c r="G96" t="s">
        <v>217</v>
      </c>
      <c r="H96" s="9">
        <v>16.45</v>
      </c>
      <c r="I96" s="10">
        <v>1</v>
      </c>
      <c r="J96" s="9">
        <v>16.45</v>
      </c>
      <c r="K96" s="11">
        <v>65700.41</v>
      </c>
      <c r="L96" s="7">
        <v>44943</v>
      </c>
    </row>
    <row r="97" spans="1:12" x14ac:dyDescent="0.35">
      <c r="A97">
        <v>5116664192</v>
      </c>
      <c r="B97" t="s">
        <v>218</v>
      </c>
      <c r="C97">
        <v>2</v>
      </c>
      <c r="D97" s="6" t="s">
        <v>219</v>
      </c>
      <c r="E97" s="7">
        <v>44942</v>
      </c>
      <c r="F97" s="8">
        <v>5003607370</v>
      </c>
      <c r="G97" t="s">
        <v>26</v>
      </c>
      <c r="H97" s="9">
        <v>195.08</v>
      </c>
      <c r="I97" s="10">
        <v>32</v>
      </c>
      <c r="J97" s="9">
        <v>6242.56</v>
      </c>
      <c r="K97" s="11">
        <v>65700.41</v>
      </c>
      <c r="L97" s="7">
        <v>44943</v>
      </c>
    </row>
    <row r="98" spans="1:12" x14ac:dyDescent="0.35">
      <c r="A98">
        <v>5116664192</v>
      </c>
      <c r="B98" t="s">
        <v>220</v>
      </c>
      <c r="C98">
        <v>3</v>
      </c>
      <c r="D98" s="6" t="s">
        <v>219</v>
      </c>
      <c r="E98" s="7">
        <v>44942</v>
      </c>
      <c r="F98" s="8">
        <v>5003607370</v>
      </c>
      <c r="G98" t="s">
        <v>221</v>
      </c>
      <c r="H98" s="9">
        <v>187.75</v>
      </c>
      <c r="I98" s="10">
        <v>12</v>
      </c>
      <c r="J98" s="9">
        <v>2253</v>
      </c>
      <c r="K98" s="11">
        <v>65700.41</v>
      </c>
      <c r="L98" s="7">
        <v>44943</v>
      </c>
    </row>
    <row r="99" spans="1:12" x14ac:dyDescent="0.35">
      <c r="A99">
        <v>5116664192</v>
      </c>
      <c r="B99" t="s">
        <v>222</v>
      </c>
      <c r="C99">
        <v>4</v>
      </c>
      <c r="D99" s="6" t="s">
        <v>219</v>
      </c>
      <c r="E99" s="7">
        <v>44942</v>
      </c>
      <c r="F99" s="8">
        <v>5003607370</v>
      </c>
      <c r="G99" t="s">
        <v>223</v>
      </c>
      <c r="H99" s="9">
        <v>70.989999999999995</v>
      </c>
      <c r="I99" s="10">
        <v>16</v>
      </c>
      <c r="J99" s="9">
        <v>1135.8399999999999</v>
      </c>
      <c r="K99" s="11">
        <v>65700.41</v>
      </c>
      <c r="L99" s="7">
        <v>44943</v>
      </c>
    </row>
    <row r="100" spans="1:12" x14ac:dyDescent="0.35">
      <c r="A100">
        <v>5116664192</v>
      </c>
      <c r="B100" t="s">
        <v>224</v>
      </c>
      <c r="C100">
        <v>5</v>
      </c>
      <c r="D100" s="6" t="s">
        <v>225</v>
      </c>
      <c r="E100" s="7">
        <v>44942</v>
      </c>
      <c r="F100" s="8">
        <v>5003611200</v>
      </c>
      <c r="G100" t="s">
        <v>58</v>
      </c>
      <c r="H100" s="9">
        <v>2551.33</v>
      </c>
      <c r="I100" s="10">
        <v>8</v>
      </c>
      <c r="J100" s="9">
        <v>20410.64</v>
      </c>
      <c r="K100" s="11">
        <v>65700.41</v>
      </c>
      <c r="L100" s="7">
        <v>44943</v>
      </c>
    </row>
    <row r="101" spans="1:12" x14ac:dyDescent="0.35">
      <c r="A101">
        <v>5116664192</v>
      </c>
      <c r="B101" t="s">
        <v>226</v>
      </c>
      <c r="C101">
        <v>6</v>
      </c>
      <c r="D101" s="6" t="s">
        <v>227</v>
      </c>
      <c r="E101" s="7">
        <v>44942</v>
      </c>
      <c r="F101" s="8">
        <v>5003613224</v>
      </c>
      <c r="G101" t="s">
        <v>228</v>
      </c>
      <c r="H101" s="9">
        <v>13.63</v>
      </c>
      <c r="I101" s="10">
        <v>4</v>
      </c>
      <c r="J101" s="9">
        <v>54.52</v>
      </c>
      <c r="K101" s="11">
        <v>65700.41</v>
      </c>
      <c r="L101" s="7">
        <v>44943</v>
      </c>
    </row>
    <row r="102" spans="1:12" x14ac:dyDescent="0.35">
      <c r="A102">
        <v>5116664192</v>
      </c>
      <c r="B102" t="s">
        <v>229</v>
      </c>
      <c r="C102">
        <v>7</v>
      </c>
      <c r="D102" s="6" t="s">
        <v>227</v>
      </c>
      <c r="E102" s="7">
        <v>44942</v>
      </c>
      <c r="F102" s="8">
        <v>5003614326</v>
      </c>
      <c r="G102" t="s">
        <v>230</v>
      </c>
      <c r="H102" s="9">
        <v>656.91</v>
      </c>
      <c r="I102" s="10">
        <v>9</v>
      </c>
      <c r="J102" s="9">
        <v>5912.19</v>
      </c>
      <c r="K102" s="11">
        <v>65700.41</v>
      </c>
      <c r="L102" s="7">
        <v>44943</v>
      </c>
    </row>
    <row r="103" spans="1:12" x14ac:dyDescent="0.35">
      <c r="A103">
        <v>5116664192</v>
      </c>
      <c r="B103" t="s">
        <v>231</v>
      </c>
      <c r="C103">
        <v>8</v>
      </c>
      <c r="D103" s="6" t="s">
        <v>227</v>
      </c>
      <c r="E103" s="7">
        <v>44942</v>
      </c>
      <c r="F103" s="8">
        <v>5003614340</v>
      </c>
      <c r="G103" t="s">
        <v>232</v>
      </c>
      <c r="H103" s="9">
        <v>403.78000000000003</v>
      </c>
      <c r="I103" s="10">
        <v>34</v>
      </c>
      <c r="J103" s="9">
        <v>13728.52</v>
      </c>
      <c r="K103" s="11">
        <v>65700.41</v>
      </c>
      <c r="L103" s="7">
        <v>44943</v>
      </c>
    </row>
    <row r="104" spans="1:12" x14ac:dyDescent="0.35">
      <c r="A104">
        <v>5116664192</v>
      </c>
      <c r="B104" t="s">
        <v>233</v>
      </c>
      <c r="C104">
        <v>9</v>
      </c>
      <c r="D104" s="6" t="s">
        <v>227</v>
      </c>
      <c r="E104" s="7">
        <v>44942</v>
      </c>
      <c r="F104" s="8">
        <v>5003614365</v>
      </c>
      <c r="G104" t="s">
        <v>100</v>
      </c>
      <c r="H104" s="9">
        <v>189.64</v>
      </c>
      <c r="I104" s="10">
        <v>30</v>
      </c>
      <c r="J104" s="9">
        <v>5689.2</v>
      </c>
      <c r="K104" s="11">
        <v>65700.41</v>
      </c>
      <c r="L104" s="7">
        <v>44943</v>
      </c>
    </row>
    <row r="105" spans="1:12" x14ac:dyDescent="0.35">
      <c r="A105">
        <v>5116664192</v>
      </c>
      <c r="B105" t="s">
        <v>234</v>
      </c>
      <c r="C105">
        <v>10</v>
      </c>
      <c r="D105" s="6" t="s">
        <v>216</v>
      </c>
      <c r="E105" s="7">
        <v>44942</v>
      </c>
      <c r="F105" s="8">
        <v>5003615337</v>
      </c>
      <c r="G105" t="s">
        <v>128</v>
      </c>
      <c r="H105" s="9">
        <v>27.9</v>
      </c>
      <c r="I105" s="10">
        <v>4</v>
      </c>
      <c r="J105" s="9">
        <v>111.6</v>
      </c>
      <c r="K105" s="11">
        <v>65700.41</v>
      </c>
      <c r="L105" s="7">
        <v>44943</v>
      </c>
    </row>
    <row r="106" spans="1:12" x14ac:dyDescent="0.35">
      <c r="A106">
        <v>5116664192</v>
      </c>
      <c r="B106" t="s">
        <v>235</v>
      </c>
      <c r="C106">
        <v>11</v>
      </c>
      <c r="D106" s="6" t="s">
        <v>216</v>
      </c>
      <c r="E106" s="7">
        <v>44942</v>
      </c>
      <c r="F106" s="8">
        <v>5003618561</v>
      </c>
      <c r="G106" t="s">
        <v>236</v>
      </c>
      <c r="H106" s="9">
        <v>92.320000000000007</v>
      </c>
      <c r="I106" s="10">
        <v>10</v>
      </c>
      <c r="J106" s="9">
        <v>923.2</v>
      </c>
      <c r="K106" s="11">
        <v>65700.41</v>
      </c>
      <c r="L106" s="7">
        <v>44943</v>
      </c>
    </row>
    <row r="107" spans="1:12" x14ac:dyDescent="0.35">
      <c r="A107">
        <v>5116664192</v>
      </c>
      <c r="B107" t="s">
        <v>237</v>
      </c>
      <c r="C107">
        <v>12</v>
      </c>
      <c r="D107" s="6" t="s">
        <v>216</v>
      </c>
      <c r="E107" s="7">
        <v>44942</v>
      </c>
      <c r="F107" s="8">
        <v>5003618561</v>
      </c>
      <c r="G107" t="s">
        <v>236</v>
      </c>
      <c r="H107" s="9">
        <v>92.320000000000007</v>
      </c>
      <c r="I107" s="10">
        <v>5</v>
      </c>
      <c r="J107" s="9">
        <v>461.6</v>
      </c>
      <c r="K107" s="11">
        <v>65700.41</v>
      </c>
      <c r="L107" s="7">
        <v>44943</v>
      </c>
    </row>
    <row r="108" spans="1:12" x14ac:dyDescent="0.35">
      <c r="A108">
        <v>5116664192</v>
      </c>
      <c r="B108" t="s">
        <v>238</v>
      </c>
      <c r="C108">
        <v>13</v>
      </c>
      <c r="D108" s="6" t="s">
        <v>227</v>
      </c>
      <c r="E108" s="7">
        <v>44942</v>
      </c>
      <c r="F108" s="8">
        <v>5003619217</v>
      </c>
      <c r="G108" t="s">
        <v>230</v>
      </c>
      <c r="H108" s="9">
        <v>656.91</v>
      </c>
      <c r="I108" s="10">
        <v>3</v>
      </c>
      <c r="J108" s="9">
        <v>1970.73</v>
      </c>
      <c r="K108" s="11">
        <v>65700.41</v>
      </c>
      <c r="L108" s="7">
        <v>44943</v>
      </c>
    </row>
    <row r="109" spans="1:12" x14ac:dyDescent="0.35">
      <c r="A109">
        <v>5116664192</v>
      </c>
      <c r="B109" t="s">
        <v>239</v>
      </c>
      <c r="C109">
        <v>14</v>
      </c>
      <c r="D109" s="6" t="s">
        <v>227</v>
      </c>
      <c r="E109" s="7">
        <v>44942</v>
      </c>
      <c r="F109" s="8">
        <v>5003619256</v>
      </c>
      <c r="G109" t="s">
        <v>240</v>
      </c>
      <c r="H109" s="9">
        <v>1995.64</v>
      </c>
      <c r="I109" s="10">
        <v>1</v>
      </c>
      <c r="J109" s="9">
        <v>1995.64</v>
      </c>
      <c r="K109" s="11">
        <v>65700.41</v>
      </c>
      <c r="L109" s="7">
        <v>44943</v>
      </c>
    </row>
    <row r="110" spans="1:12" x14ac:dyDescent="0.35">
      <c r="A110">
        <v>5116664192</v>
      </c>
      <c r="B110" t="s">
        <v>241</v>
      </c>
      <c r="C110">
        <v>15</v>
      </c>
      <c r="D110" s="6" t="s">
        <v>216</v>
      </c>
      <c r="E110" s="7">
        <v>44942</v>
      </c>
      <c r="F110" s="8">
        <v>5003627825</v>
      </c>
      <c r="G110" t="s">
        <v>242</v>
      </c>
      <c r="H110" s="9">
        <v>99.89</v>
      </c>
      <c r="I110" s="10">
        <v>48</v>
      </c>
      <c r="J110" s="9">
        <v>4794.72</v>
      </c>
      <c r="K110" s="11">
        <v>65700.41</v>
      </c>
      <c r="L110" s="7">
        <v>44943</v>
      </c>
    </row>
    <row r="111" spans="1:12" x14ac:dyDescent="0.35">
      <c r="A111">
        <v>5116664074</v>
      </c>
      <c r="B111" t="s">
        <v>255</v>
      </c>
      <c r="C111">
        <v>1</v>
      </c>
      <c r="D111" s="6" t="s">
        <v>256</v>
      </c>
      <c r="E111" s="7">
        <v>44942</v>
      </c>
      <c r="F111" s="8">
        <v>5003554346</v>
      </c>
      <c r="G111" t="s">
        <v>257</v>
      </c>
      <c r="H111" s="9">
        <v>46.54</v>
      </c>
      <c r="I111" s="10">
        <v>1</v>
      </c>
      <c r="J111" s="9">
        <v>46.54</v>
      </c>
      <c r="K111" s="11">
        <v>46.54</v>
      </c>
      <c r="L111" s="7">
        <v>44943</v>
      </c>
    </row>
    <row r="112" spans="1:12" x14ac:dyDescent="0.35">
      <c r="A112">
        <v>5116664075</v>
      </c>
      <c r="B112" t="s">
        <v>258</v>
      </c>
      <c r="C112">
        <v>1</v>
      </c>
      <c r="D112" s="6" t="s">
        <v>256</v>
      </c>
      <c r="E112" s="7">
        <v>44942</v>
      </c>
      <c r="F112" s="8">
        <v>5003557853</v>
      </c>
      <c r="G112" t="s">
        <v>257</v>
      </c>
      <c r="H112" s="9">
        <v>46.54</v>
      </c>
      <c r="I112" s="10">
        <v>1</v>
      </c>
      <c r="J112" s="9">
        <v>46.54</v>
      </c>
      <c r="K112" s="11">
        <v>46.54</v>
      </c>
      <c r="L112" s="7">
        <v>44943</v>
      </c>
    </row>
    <row r="113" spans="1:12" x14ac:dyDescent="0.35">
      <c r="A113">
        <v>5116664076</v>
      </c>
      <c r="B113" t="s">
        <v>259</v>
      </c>
      <c r="C113">
        <v>1</v>
      </c>
      <c r="D113" s="6" t="s">
        <v>256</v>
      </c>
      <c r="E113" s="7">
        <v>44942</v>
      </c>
      <c r="F113" s="8">
        <v>5003560802</v>
      </c>
      <c r="G113" t="s">
        <v>257</v>
      </c>
      <c r="H113" s="9">
        <v>46.54</v>
      </c>
      <c r="I113" s="10">
        <v>1</v>
      </c>
      <c r="J113" s="9">
        <v>46.54</v>
      </c>
      <c r="K113" s="11">
        <v>46.54</v>
      </c>
      <c r="L113" s="7">
        <v>44943</v>
      </c>
    </row>
    <row r="114" spans="1:12" x14ac:dyDescent="0.35">
      <c r="A114">
        <v>5116664077</v>
      </c>
      <c r="B114" t="s">
        <v>260</v>
      </c>
      <c r="C114">
        <v>1</v>
      </c>
      <c r="D114" s="6" t="s">
        <v>219</v>
      </c>
      <c r="E114" s="7">
        <v>44942</v>
      </c>
      <c r="F114" s="8">
        <v>5003584040</v>
      </c>
      <c r="G114" t="s">
        <v>257</v>
      </c>
      <c r="H114" s="9">
        <v>46.54</v>
      </c>
      <c r="I114" s="10">
        <v>9</v>
      </c>
      <c r="J114" s="9">
        <v>418.86</v>
      </c>
      <c r="K114" s="11">
        <v>418.86</v>
      </c>
      <c r="L114" s="7">
        <v>44943</v>
      </c>
    </row>
    <row r="115" spans="1:12" x14ac:dyDescent="0.35">
      <c r="A115">
        <v>5116664078</v>
      </c>
      <c r="B115" t="s">
        <v>261</v>
      </c>
      <c r="C115">
        <v>1</v>
      </c>
      <c r="D115" s="6" t="s">
        <v>219</v>
      </c>
      <c r="E115" s="7">
        <v>44942</v>
      </c>
      <c r="F115" s="8">
        <v>5003585682</v>
      </c>
      <c r="G115" t="s">
        <v>257</v>
      </c>
      <c r="H115" s="9">
        <v>46.54</v>
      </c>
      <c r="I115" s="10">
        <v>1</v>
      </c>
      <c r="J115" s="9">
        <v>46.54</v>
      </c>
      <c r="K115" s="11">
        <v>46.54</v>
      </c>
      <c r="L115" s="7">
        <v>44943</v>
      </c>
    </row>
    <row r="116" spans="1:12" x14ac:dyDescent="0.35">
      <c r="A116">
        <v>5116664079</v>
      </c>
      <c r="B116" t="s">
        <v>262</v>
      </c>
      <c r="C116">
        <v>1</v>
      </c>
      <c r="D116" s="6" t="s">
        <v>219</v>
      </c>
      <c r="E116" s="7">
        <v>44942</v>
      </c>
      <c r="F116" s="8">
        <v>5003592236</v>
      </c>
      <c r="G116" t="s">
        <v>257</v>
      </c>
      <c r="H116" s="9">
        <v>46.54</v>
      </c>
      <c r="I116" s="10">
        <v>2</v>
      </c>
      <c r="J116" s="9">
        <v>93.08</v>
      </c>
      <c r="K116" s="11">
        <v>93.08</v>
      </c>
      <c r="L116" s="7">
        <v>44943</v>
      </c>
    </row>
    <row r="117" spans="1:12" x14ac:dyDescent="0.35">
      <c r="A117">
        <v>5116664180</v>
      </c>
      <c r="B117" t="s">
        <v>263</v>
      </c>
      <c r="C117">
        <v>1</v>
      </c>
      <c r="D117" s="6" t="s">
        <v>219</v>
      </c>
      <c r="E117" s="7">
        <v>44942</v>
      </c>
      <c r="F117" s="8">
        <v>5003593662</v>
      </c>
      <c r="G117" t="s">
        <v>257</v>
      </c>
      <c r="H117" s="9">
        <v>46.54</v>
      </c>
      <c r="I117" s="10">
        <v>1</v>
      </c>
      <c r="J117" s="9">
        <v>46.54</v>
      </c>
      <c r="K117" s="11">
        <v>46.54</v>
      </c>
      <c r="L117" s="7">
        <v>44943</v>
      </c>
    </row>
    <row r="118" spans="1:12" x14ac:dyDescent="0.35">
      <c r="A118">
        <v>5116664181</v>
      </c>
      <c r="B118" t="s">
        <v>264</v>
      </c>
      <c r="C118">
        <v>1</v>
      </c>
      <c r="D118" s="6" t="s">
        <v>219</v>
      </c>
      <c r="E118" s="7">
        <v>44942</v>
      </c>
      <c r="F118" s="8">
        <v>5003598213</v>
      </c>
      <c r="G118" t="s">
        <v>257</v>
      </c>
      <c r="H118" s="9">
        <v>46.54</v>
      </c>
      <c r="I118" s="10">
        <v>1</v>
      </c>
      <c r="J118" s="9">
        <v>46.54</v>
      </c>
      <c r="K118" s="11">
        <v>46.54</v>
      </c>
      <c r="L118" s="7">
        <v>44943</v>
      </c>
    </row>
    <row r="119" spans="1:12" x14ac:dyDescent="0.35">
      <c r="A119">
        <v>5116664182</v>
      </c>
      <c r="B119" t="s">
        <v>265</v>
      </c>
      <c r="C119">
        <v>1</v>
      </c>
      <c r="D119" s="6" t="s">
        <v>219</v>
      </c>
      <c r="E119" s="7">
        <v>44942</v>
      </c>
      <c r="F119" s="8">
        <v>5003605239</v>
      </c>
      <c r="G119" t="s">
        <v>257</v>
      </c>
      <c r="H119" s="9">
        <v>46.54</v>
      </c>
      <c r="I119" s="10">
        <v>1</v>
      </c>
      <c r="J119" s="9">
        <v>46.54</v>
      </c>
      <c r="K119" s="11">
        <v>46.54</v>
      </c>
      <c r="L119" s="7">
        <v>44943</v>
      </c>
    </row>
    <row r="120" spans="1:12" x14ac:dyDescent="0.35">
      <c r="A120">
        <v>5116664184</v>
      </c>
      <c r="B120" t="s">
        <v>266</v>
      </c>
      <c r="C120">
        <v>1</v>
      </c>
      <c r="D120" s="6" t="s">
        <v>256</v>
      </c>
      <c r="E120" s="7">
        <v>44942</v>
      </c>
      <c r="F120" s="8">
        <v>5003607373</v>
      </c>
      <c r="G120" t="s">
        <v>267</v>
      </c>
      <c r="H120" s="9">
        <v>241.51</v>
      </c>
      <c r="I120" s="10">
        <v>1</v>
      </c>
      <c r="J120" s="9">
        <v>241.51</v>
      </c>
      <c r="K120" s="11">
        <v>4350.33</v>
      </c>
      <c r="L120" s="7">
        <v>44943</v>
      </c>
    </row>
    <row r="121" spans="1:12" x14ac:dyDescent="0.35">
      <c r="A121">
        <v>5116664184</v>
      </c>
      <c r="B121" t="s">
        <v>268</v>
      </c>
      <c r="C121">
        <v>2</v>
      </c>
      <c r="D121" s="6" t="s">
        <v>219</v>
      </c>
      <c r="E121" s="7">
        <v>44942</v>
      </c>
      <c r="F121" s="8">
        <v>5003607373</v>
      </c>
      <c r="G121" t="s">
        <v>257</v>
      </c>
      <c r="H121" s="9">
        <v>46.54</v>
      </c>
      <c r="I121" s="10">
        <v>7</v>
      </c>
      <c r="J121" s="9">
        <v>325.77999999999997</v>
      </c>
      <c r="K121" s="11">
        <v>4350.33</v>
      </c>
      <c r="L121" s="7">
        <v>44943</v>
      </c>
    </row>
    <row r="122" spans="1:12" x14ac:dyDescent="0.35">
      <c r="A122">
        <v>5116664184</v>
      </c>
      <c r="B122" t="s">
        <v>269</v>
      </c>
      <c r="C122">
        <v>3</v>
      </c>
      <c r="D122" s="6" t="s">
        <v>256</v>
      </c>
      <c r="E122" s="7">
        <v>44942</v>
      </c>
      <c r="F122" s="8">
        <v>5003607373</v>
      </c>
      <c r="G122" t="s">
        <v>270</v>
      </c>
      <c r="H122" s="9">
        <v>118.22</v>
      </c>
      <c r="I122" s="10">
        <v>32</v>
      </c>
      <c r="J122" s="9">
        <v>3783.04</v>
      </c>
      <c r="K122" s="11">
        <v>4350.33</v>
      </c>
      <c r="L122" s="7">
        <v>44943</v>
      </c>
    </row>
    <row r="123" spans="1:12" x14ac:dyDescent="0.35">
      <c r="A123">
        <v>5116664517</v>
      </c>
      <c r="B123" t="s">
        <v>271</v>
      </c>
      <c r="C123">
        <v>1</v>
      </c>
      <c r="D123" s="6" t="s">
        <v>272</v>
      </c>
      <c r="E123" s="7">
        <v>44943</v>
      </c>
      <c r="F123" s="8">
        <v>2351610624</v>
      </c>
      <c r="G123" t="s">
        <v>273</v>
      </c>
      <c r="H123" s="9">
        <v>1265</v>
      </c>
      <c r="I123" s="10">
        <v>1</v>
      </c>
      <c r="J123" s="9">
        <v>1265</v>
      </c>
      <c r="K123" s="11">
        <v>1815.75</v>
      </c>
      <c r="L123" s="7">
        <v>44943</v>
      </c>
    </row>
    <row r="124" spans="1:12" x14ac:dyDescent="0.35">
      <c r="A124">
        <v>5116664517</v>
      </c>
      <c r="B124" t="s">
        <v>274</v>
      </c>
      <c r="C124">
        <v>2</v>
      </c>
      <c r="D124" s="6" t="s">
        <v>272</v>
      </c>
      <c r="E124" s="7">
        <v>44943</v>
      </c>
      <c r="F124" s="8">
        <v>2351610624</v>
      </c>
      <c r="G124" t="s">
        <v>273</v>
      </c>
      <c r="H124" s="9">
        <v>350</v>
      </c>
      <c r="I124" s="10">
        <v>1</v>
      </c>
      <c r="J124" s="9">
        <v>350</v>
      </c>
      <c r="K124" s="11">
        <v>1815.75</v>
      </c>
      <c r="L124" s="7">
        <v>44943</v>
      </c>
    </row>
    <row r="125" spans="1:12" x14ac:dyDescent="0.35">
      <c r="A125">
        <v>5116664517</v>
      </c>
      <c r="B125" t="s">
        <v>275</v>
      </c>
      <c r="C125">
        <v>3</v>
      </c>
      <c r="D125" s="6" t="s">
        <v>272</v>
      </c>
      <c r="E125" s="7">
        <v>44943</v>
      </c>
      <c r="F125" s="8">
        <v>2351610624</v>
      </c>
      <c r="G125" t="s">
        <v>273</v>
      </c>
      <c r="H125" s="9">
        <v>200.75</v>
      </c>
      <c r="I125" s="10">
        <v>1</v>
      </c>
      <c r="J125" s="9">
        <v>200.75</v>
      </c>
      <c r="K125" s="11">
        <v>1815.75</v>
      </c>
      <c r="L125" s="7">
        <v>44943</v>
      </c>
    </row>
    <row r="126" spans="1:12" x14ac:dyDescent="0.35">
      <c r="A126">
        <v>5116664518</v>
      </c>
      <c r="B126" t="s">
        <v>276</v>
      </c>
      <c r="C126">
        <v>1</v>
      </c>
      <c r="D126" s="6" t="s">
        <v>277</v>
      </c>
      <c r="E126" s="7">
        <v>44943</v>
      </c>
      <c r="F126" s="8">
        <v>2351575136</v>
      </c>
      <c r="G126" t="s">
        <v>278</v>
      </c>
      <c r="H126" s="9">
        <v>72.19</v>
      </c>
      <c r="I126" s="10">
        <v>14</v>
      </c>
      <c r="J126" s="9">
        <v>1010.66</v>
      </c>
      <c r="K126" s="11">
        <v>19730.79</v>
      </c>
      <c r="L126" s="7">
        <v>44943</v>
      </c>
    </row>
    <row r="127" spans="1:12" x14ac:dyDescent="0.35">
      <c r="A127">
        <v>5116664518</v>
      </c>
      <c r="B127" t="s">
        <v>279</v>
      </c>
      <c r="C127">
        <v>2</v>
      </c>
      <c r="D127" s="6" t="s">
        <v>277</v>
      </c>
      <c r="E127" s="7">
        <v>44943</v>
      </c>
      <c r="F127" s="8">
        <v>2351647528</v>
      </c>
      <c r="G127" t="s">
        <v>280</v>
      </c>
      <c r="H127" s="9">
        <v>193.08</v>
      </c>
      <c r="I127" s="10">
        <v>2</v>
      </c>
      <c r="J127" s="9">
        <v>386.16</v>
      </c>
      <c r="K127" s="11">
        <v>19730.79</v>
      </c>
      <c r="L127" s="7">
        <v>44943</v>
      </c>
    </row>
    <row r="128" spans="1:12" x14ac:dyDescent="0.35">
      <c r="A128">
        <v>5116664518</v>
      </c>
      <c r="B128" t="s">
        <v>281</v>
      </c>
      <c r="C128">
        <v>3</v>
      </c>
      <c r="D128" s="6" t="s">
        <v>282</v>
      </c>
      <c r="E128" s="7">
        <v>44943</v>
      </c>
      <c r="F128" s="8">
        <v>2351649162</v>
      </c>
      <c r="G128" t="s">
        <v>283</v>
      </c>
      <c r="H128" s="9">
        <v>15.690000000000001</v>
      </c>
      <c r="I128" s="10">
        <v>9</v>
      </c>
      <c r="J128" s="9">
        <v>141.21</v>
      </c>
      <c r="K128" s="11">
        <v>19730.79</v>
      </c>
      <c r="L128" s="7">
        <v>44943</v>
      </c>
    </row>
    <row r="129" spans="1:12" x14ac:dyDescent="0.35">
      <c r="A129">
        <v>5116664518</v>
      </c>
      <c r="B129" t="s">
        <v>284</v>
      </c>
      <c r="C129">
        <v>4</v>
      </c>
      <c r="D129" s="6" t="s">
        <v>282</v>
      </c>
      <c r="E129" s="7">
        <v>44943</v>
      </c>
      <c r="F129" s="8">
        <v>2351649162</v>
      </c>
      <c r="G129" t="s">
        <v>285</v>
      </c>
      <c r="H129" s="9">
        <v>39.4</v>
      </c>
      <c r="I129" s="10">
        <v>20</v>
      </c>
      <c r="J129" s="9">
        <v>788</v>
      </c>
      <c r="K129" s="11">
        <v>19730.79</v>
      </c>
      <c r="L129" s="7">
        <v>44943</v>
      </c>
    </row>
    <row r="130" spans="1:12" x14ac:dyDescent="0.35">
      <c r="A130">
        <v>5116664518</v>
      </c>
      <c r="B130" t="s">
        <v>286</v>
      </c>
      <c r="C130">
        <v>5</v>
      </c>
      <c r="D130" s="6" t="s">
        <v>277</v>
      </c>
      <c r="E130" s="7">
        <v>44943</v>
      </c>
      <c r="F130" s="8">
        <v>2351663395</v>
      </c>
      <c r="G130" t="s">
        <v>280</v>
      </c>
      <c r="H130" s="9">
        <v>193.08</v>
      </c>
      <c r="I130" s="10">
        <v>1</v>
      </c>
      <c r="J130" s="9">
        <v>193.08</v>
      </c>
      <c r="K130" s="11">
        <v>19730.79</v>
      </c>
      <c r="L130" s="7">
        <v>44943</v>
      </c>
    </row>
    <row r="131" spans="1:12" x14ac:dyDescent="0.35">
      <c r="A131">
        <v>5116664518</v>
      </c>
      <c r="B131" t="s">
        <v>287</v>
      </c>
      <c r="C131">
        <v>6</v>
      </c>
      <c r="D131" s="6" t="s">
        <v>288</v>
      </c>
      <c r="E131" s="7">
        <v>44943</v>
      </c>
      <c r="F131" s="8">
        <v>2351663940</v>
      </c>
      <c r="G131" t="s">
        <v>289</v>
      </c>
      <c r="H131" s="9">
        <v>9.7799999999999994</v>
      </c>
      <c r="I131" s="10">
        <v>144</v>
      </c>
      <c r="J131" s="9">
        <v>1408.32</v>
      </c>
      <c r="K131" s="11">
        <v>19730.79</v>
      </c>
      <c r="L131" s="7">
        <v>44943</v>
      </c>
    </row>
    <row r="132" spans="1:12" x14ac:dyDescent="0.35">
      <c r="A132">
        <v>5116664518</v>
      </c>
      <c r="B132" t="s">
        <v>290</v>
      </c>
      <c r="C132">
        <v>7</v>
      </c>
      <c r="D132" s="6" t="s">
        <v>288</v>
      </c>
      <c r="E132" s="7">
        <v>44943</v>
      </c>
      <c r="F132" s="8">
        <v>2351664191</v>
      </c>
      <c r="G132" t="s">
        <v>291</v>
      </c>
      <c r="H132" s="9">
        <v>11.659999999999998</v>
      </c>
      <c r="I132" s="10">
        <v>96</v>
      </c>
      <c r="J132" s="9">
        <v>1119.3599999999999</v>
      </c>
      <c r="K132" s="11">
        <v>19730.79</v>
      </c>
      <c r="L132" s="7">
        <v>44943</v>
      </c>
    </row>
    <row r="133" spans="1:12" x14ac:dyDescent="0.35">
      <c r="A133">
        <v>5116664518</v>
      </c>
      <c r="B133" t="s">
        <v>292</v>
      </c>
      <c r="C133">
        <v>8</v>
      </c>
      <c r="D133" s="6" t="s">
        <v>293</v>
      </c>
      <c r="E133" s="7">
        <v>44943</v>
      </c>
      <c r="F133" s="8">
        <v>2351665188</v>
      </c>
      <c r="G133" t="s">
        <v>294</v>
      </c>
      <c r="H133" s="9">
        <v>47.919999999999995</v>
      </c>
      <c r="I133" s="10">
        <v>3</v>
      </c>
      <c r="J133" s="9">
        <v>143.76</v>
      </c>
      <c r="K133" s="11">
        <v>19730.79</v>
      </c>
      <c r="L133" s="7">
        <v>44943</v>
      </c>
    </row>
    <row r="134" spans="1:12" x14ac:dyDescent="0.35">
      <c r="A134">
        <v>5116664518</v>
      </c>
      <c r="B134" t="s">
        <v>295</v>
      </c>
      <c r="C134">
        <v>9</v>
      </c>
      <c r="D134" s="6" t="s">
        <v>296</v>
      </c>
      <c r="E134" s="7">
        <v>44943</v>
      </c>
      <c r="F134" s="8">
        <v>2351669094</v>
      </c>
      <c r="G134" t="s">
        <v>47</v>
      </c>
      <c r="H134" s="9">
        <v>144.79</v>
      </c>
      <c r="I134" s="10">
        <v>6</v>
      </c>
      <c r="J134" s="9">
        <v>868.74</v>
      </c>
      <c r="K134" s="11">
        <v>19730.79</v>
      </c>
      <c r="L134" s="7">
        <v>44943</v>
      </c>
    </row>
    <row r="135" spans="1:12" x14ac:dyDescent="0.35">
      <c r="A135">
        <v>5116664518</v>
      </c>
      <c r="B135" t="s">
        <v>297</v>
      </c>
      <c r="C135">
        <v>10</v>
      </c>
      <c r="D135" s="6" t="s">
        <v>296</v>
      </c>
      <c r="E135" s="7">
        <v>44943</v>
      </c>
      <c r="F135" s="8">
        <v>2351669094</v>
      </c>
      <c r="G135" t="s">
        <v>47</v>
      </c>
      <c r="H135" s="9">
        <v>144.79</v>
      </c>
      <c r="I135" s="10">
        <v>1</v>
      </c>
      <c r="J135" s="9">
        <v>144.79</v>
      </c>
      <c r="K135" s="11">
        <v>19730.79</v>
      </c>
      <c r="L135" s="7">
        <v>44943</v>
      </c>
    </row>
    <row r="136" spans="1:12" x14ac:dyDescent="0.35">
      <c r="A136">
        <v>5116664518</v>
      </c>
      <c r="B136" t="s">
        <v>298</v>
      </c>
      <c r="C136">
        <v>11</v>
      </c>
      <c r="D136" s="6" t="s">
        <v>293</v>
      </c>
      <c r="E136" s="7">
        <v>44943</v>
      </c>
      <c r="F136" s="8">
        <v>2351671007</v>
      </c>
      <c r="G136" t="s">
        <v>223</v>
      </c>
      <c r="H136" s="9">
        <v>70.989999999999995</v>
      </c>
      <c r="I136" s="10">
        <v>16</v>
      </c>
      <c r="J136" s="9">
        <v>1135.8399999999999</v>
      </c>
      <c r="K136" s="11">
        <v>19730.79</v>
      </c>
      <c r="L136" s="7">
        <v>44943</v>
      </c>
    </row>
    <row r="137" spans="1:12" x14ac:dyDescent="0.35">
      <c r="A137">
        <v>5116664518</v>
      </c>
      <c r="B137" t="s">
        <v>299</v>
      </c>
      <c r="C137">
        <v>12</v>
      </c>
      <c r="D137" s="6" t="s">
        <v>282</v>
      </c>
      <c r="E137" s="7">
        <v>44943</v>
      </c>
      <c r="F137" s="8">
        <v>2351671791</v>
      </c>
      <c r="G137" t="s">
        <v>139</v>
      </c>
      <c r="H137" s="9">
        <v>5.6800000000000006</v>
      </c>
      <c r="I137" s="10">
        <v>30</v>
      </c>
      <c r="J137" s="9">
        <v>170.4</v>
      </c>
      <c r="K137" s="11">
        <v>19730.79</v>
      </c>
      <c r="L137" s="7">
        <v>44943</v>
      </c>
    </row>
    <row r="138" spans="1:12" x14ac:dyDescent="0.35">
      <c r="A138">
        <v>5116664518</v>
      </c>
      <c r="B138" t="s">
        <v>300</v>
      </c>
      <c r="C138">
        <v>13</v>
      </c>
      <c r="D138" s="6" t="s">
        <v>282</v>
      </c>
      <c r="E138" s="7">
        <v>44943</v>
      </c>
      <c r="F138" s="8">
        <v>2351671791</v>
      </c>
      <c r="G138" t="s">
        <v>301</v>
      </c>
      <c r="H138" s="9">
        <v>100.53</v>
      </c>
      <c r="I138" s="10">
        <v>20</v>
      </c>
      <c r="J138" s="9">
        <v>2010.6</v>
      </c>
      <c r="K138" s="11">
        <v>19730.79</v>
      </c>
      <c r="L138" s="7">
        <v>44943</v>
      </c>
    </row>
    <row r="139" spans="1:12" x14ac:dyDescent="0.35">
      <c r="A139">
        <v>5116664518</v>
      </c>
      <c r="B139" t="s">
        <v>302</v>
      </c>
      <c r="C139">
        <v>14</v>
      </c>
      <c r="D139" s="6" t="s">
        <v>303</v>
      </c>
      <c r="E139" s="7">
        <v>44943</v>
      </c>
      <c r="F139" s="8">
        <v>2351671793</v>
      </c>
      <c r="G139" t="s">
        <v>304</v>
      </c>
      <c r="H139" s="9">
        <v>144.56</v>
      </c>
      <c r="I139" s="10">
        <v>30</v>
      </c>
      <c r="J139" s="9">
        <v>4336.8</v>
      </c>
      <c r="K139" s="11">
        <v>19730.79</v>
      </c>
      <c r="L139" s="7">
        <v>44943</v>
      </c>
    </row>
    <row r="140" spans="1:12" x14ac:dyDescent="0.35">
      <c r="A140">
        <v>5116664518</v>
      </c>
      <c r="B140" t="s">
        <v>305</v>
      </c>
      <c r="C140">
        <v>15</v>
      </c>
      <c r="D140" s="6" t="s">
        <v>277</v>
      </c>
      <c r="E140" s="7">
        <v>44943</v>
      </c>
      <c r="F140" s="8">
        <v>2351671793</v>
      </c>
      <c r="G140" t="s">
        <v>280</v>
      </c>
      <c r="H140" s="9">
        <v>193.08</v>
      </c>
      <c r="I140" s="10">
        <v>1</v>
      </c>
      <c r="J140" s="9">
        <v>193.08</v>
      </c>
      <c r="K140" s="11">
        <v>19730.79</v>
      </c>
      <c r="L140" s="7">
        <v>44943</v>
      </c>
    </row>
    <row r="141" spans="1:12" x14ac:dyDescent="0.35">
      <c r="A141">
        <v>5116664518</v>
      </c>
      <c r="B141" t="s">
        <v>306</v>
      </c>
      <c r="C141">
        <v>16</v>
      </c>
      <c r="D141" s="6" t="s">
        <v>277</v>
      </c>
      <c r="E141" s="7">
        <v>44943</v>
      </c>
      <c r="F141" s="8">
        <v>2351671793</v>
      </c>
      <c r="G141" t="s">
        <v>26</v>
      </c>
      <c r="H141" s="9">
        <v>195.07999999999998</v>
      </c>
      <c r="I141" s="10">
        <v>10</v>
      </c>
      <c r="J141" s="9">
        <v>1950.8</v>
      </c>
      <c r="K141" s="11">
        <v>19730.79</v>
      </c>
      <c r="L141" s="7">
        <v>44943</v>
      </c>
    </row>
    <row r="142" spans="1:12" x14ac:dyDescent="0.35">
      <c r="A142">
        <v>5116664518</v>
      </c>
      <c r="B142" t="s">
        <v>307</v>
      </c>
      <c r="C142">
        <v>17</v>
      </c>
      <c r="D142" s="6" t="s">
        <v>293</v>
      </c>
      <c r="E142" s="7">
        <v>44943</v>
      </c>
      <c r="F142" s="8">
        <v>2351671793</v>
      </c>
      <c r="G142" t="s">
        <v>308</v>
      </c>
      <c r="H142" s="9">
        <v>102.07000000000001</v>
      </c>
      <c r="I142" s="10">
        <v>26</v>
      </c>
      <c r="J142" s="9">
        <v>2653.82</v>
      </c>
      <c r="K142" s="11">
        <v>19730.79</v>
      </c>
      <c r="L142" s="7">
        <v>44943</v>
      </c>
    </row>
    <row r="143" spans="1:12" x14ac:dyDescent="0.35">
      <c r="A143">
        <v>5116664518</v>
      </c>
      <c r="B143" t="s">
        <v>309</v>
      </c>
      <c r="C143">
        <v>18</v>
      </c>
      <c r="D143" s="6" t="s">
        <v>277</v>
      </c>
      <c r="E143" s="7">
        <v>44943</v>
      </c>
      <c r="F143" s="8">
        <v>2351671793</v>
      </c>
      <c r="G143" t="s">
        <v>147</v>
      </c>
      <c r="H143" s="9">
        <v>280.19</v>
      </c>
      <c r="I143" s="10">
        <v>3</v>
      </c>
      <c r="J143" s="9">
        <v>840.57</v>
      </c>
      <c r="K143" s="11">
        <v>19730.79</v>
      </c>
      <c r="L143" s="7">
        <v>44943</v>
      </c>
    </row>
    <row r="144" spans="1:12" x14ac:dyDescent="0.35">
      <c r="A144">
        <v>5116664518</v>
      </c>
      <c r="B144" t="s">
        <v>310</v>
      </c>
      <c r="C144">
        <v>19</v>
      </c>
      <c r="D144" s="6" t="s">
        <v>282</v>
      </c>
      <c r="E144" s="7">
        <v>44943</v>
      </c>
      <c r="F144" s="8">
        <v>2351677263</v>
      </c>
      <c r="G144" t="s">
        <v>141</v>
      </c>
      <c r="H144" s="9">
        <v>11.74</v>
      </c>
      <c r="I144" s="10">
        <v>20</v>
      </c>
      <c r="J144" s="9">
        <v>234.8</v>
      </c>
      <c r="K144" s="11">
        <v>19730.79</v>
      </c>
      <c r="L144" s="7">
        <v>44943</v>
      </c>
    </row>
    <row r="145" spans="1:12" x14ac:dyDescent="0.35">
      <c r="A145">
        <v>5116664519</v>
      </c>
      <c r="B145" t="s">
        <v>311</v>
      </c>
      <c r="C145">
        <v>1</v>
      </c>
      <c r="D145" s="6" t="s">
        <v>312</v>
      </c>
      <c r="E145" s="7">
        <v>44943</v>
      </c>
      <c r="F145" s="8">
        <v>2351632982</v>
      </c>
      <c r="G145" t="s">
        <v>100</v>
      </c>
      <c r="H145" s="9">
        <v>513.24</v>
      </c>
      <c r="I145" s="10">
        <v>1</v>
      </c>
      <c r="J145" s="9">
        <v>513.24</v>
      </c>
      <c r="K145" s="11">
        <v>9266.7900000000009</v>
      </c>
      <c r="L145" s="7">
        <v>44943</v>
      </c>
    </row>
    <row r="146" spans="1:12" x14ac:dyDescent="0.35">
      <c r="A146">
        <v>5116664519</v>
      </c>
      <c r="B146" t="s">
        <v>313</v>
      </c>
      <c r="C146">
        <v>2</v>
      </c>
      <c r="D146" s="6" t="s">
        <v>314</v>
      </c>
      <c r="E146" s="7">
        <v>44943</v>
      </c>
      <c r="F146" s="8">
        <v>2351667820</v>
      </c>
      <c r="G146" t="s">
        <v>315</v>
      </c>
      <c r="H146" s="9">
        <v>50.360000000000007</v>
      </c>
      <c r="I146" s="10">
        <v>3</v>
      </c>
      <c r="J146" s="9">
        <v>151.08000000000001</v>
      </c>
      <c r="K146" s="11">
        <v>9266.7900000000009</v>
      </c>
      <c r="L146" s="7">
        <v>44943</v>
      </c>
    </row>
    <row r="147" spans="1:12" x14ac:dyDescent="0.35">
      <c r="A147">
        <v>5116664519</v>
      </c>
      <c r="B147" t="s">
        <v>316</v>
      </c>
      <c r="C147">
        <v>3</v>
      </c>
      <c r="D147" s="6" t="s">
        <v>293</v>
      </c>
      <c r="E147" s="7">
        <v>44943</v>
      </c>
      <c r="F147" s="8">
        <v>2351671008</v>
      </c>
      <c r="G147" t="s">
        <v>317</v>
      </c>
      <c r="H147" s="9">
        <v>99.98</v>
      </c>
      <c r="I147" s="10">
        <v>6</v>
      </c>
      <c r="J147" s="9">
        <v>599.88</v>
      </c>
      <c r="K147" s="11">
        <v>9266.7900000000009</v>
      </c>
      <c r="L147" s="7">
        <v>44943</v>
      </c>
    </row>
    <row r="148" spans="1:12" x14ac:dyDescent="0.35">
      <c r="A148">
        <v>5116664519</v>
      </c>
      <c r="B148" t="s">
        <v>318</v>
      </c>
      <c r="C148">
        <v>4</v>
      </c>
      <c r="D148" s="6" t="s">
        <v>293</v>
      </c>
      <c r="E148" s="7">
        <v>44943</v>
      </c>
      <c r="F148" s="8">
        <v>2351671796</v>
      </c>
      <c r="G148" t="s">
        <v>257</v>
      </c>
      <c r="H148" s="9">
        <v>46.54</v>
      </c>
      <c r="I148" s="10">
        <v>96</v>
      </c>
      <c r="J148" s="9">
        <v>4467.84</v>
      </c>
      <c r="K148" s="11">
        <v>9266.7900000000009</v>
      </c>
      <c r="L148" s="7">
        <v>44943</v>
      </c>
    </row>
    <row r="149" spans="1:12" x14ac:dyDescent="0.35">
      <c r="A149">
        <v>5116664519</v>
      </c>
      <c r="B149" t="s">
        <v>319</v>
      </c>
      <c r="C149">
        <v>5</v>
      </c>
      <c r="D149" s="6" t="s">
        <v>293</v>
      </c>
      <c r="E149" s="7">
        <v>44943</v>
      </c>
      <c r="F149" s="8">
        <v>2351671796</v>
      </c>
      <c r="G149" t="s">
        <v>257</v>
      </c>
      <c r="H149" s="9">
        <v>46.54</v>
      </c>
      <c r="I149" s="10">
        <v>17</v>
      </c>
      <c r="J149" s="9">
        <v>791.18</v>
      </c>
      <c r="K149" s="11">
        <v>9266.7900000000009</v>
      </c>
      <c r="L149" s="7">
        <v>44943</v>
      </c>
    </row>
    <row r="150" spans="1:12" x14ac:dyDescent="0.35">
      <c r="A150">
        <v>5116664519</v>
      </c>
      <c r="B150" t="s">
        <v>320</v>
      </c>
      <c r="C150">
        <v>6</v>
      </c>
      <c r="D150" s="6" t="s">
        <v>321</v>
      </c>
      <c r="E150" s="7">
        <v>44943</v>
      </c>
      <c r="F150" s="8">
        <v>2351672618</v>
      </c>
      <c r="G150" t="s">
        <v>322</v>
      </c>
      <c r="H150" s="9">
        <v>8.91</v>
      </c>
      <c r="I150" s="10">
        <v>10</v>
      </c>
      <c r="J150" s="9">
        <v>89.1</v>
      </c>
      <c r="K150" s="11">
        <v>9266.7900000000009</v>
      </c>
      <c r="L150" s="7">
        <v>44943</v>
      </c>
    </row>
    <row r="151" spans="1:12" x14ac:dyDescent="0.35">
      <c r="A151">
        <v>5116664519</v>
      </c>
      <c r="B151" t="s">
        <v>323</v>
      </c>
      <c r="C151">
        <v>7</v>
      </c>
      <c r="D151" s="6" t="s">
        <v>324</v>
      </c>
      <c r="E151" s="7">
        <v>44943</v>
      </c>
      <c r="F151" s="8">
        <v>2351678640</v>
      </c>
      <c r="G151" t="s">
        <v>325</v>
      </c>
      <c r="H151" s="9">
        <v>204.19</v>
      </c>
      <c r="I151" s="10">
        <v>13</v>
      </c>
      <c r="J151" s="9">
        <v>2654.47</v>
      </c>
      <c r="K151" s="11">
        <v>9266.7900000000009</v>
      </c>
      <c r="L151" s="7">
        <v>44943</v>
      </c>
    </row>
    <row r="152" spans="1:12" x14ac:dyDescent="0.35">
      <c r="A152">
        <v>5116661490</v>
      </c>
      <c r="B152" t="s">
        <v>326</v>
      </c>
      <c r="C152">
        <v>1</v>
      </c>
      <c r="D152" s="6" t="s">
        <v>327</v>
      </c>
      <c r="E152" s="7">
        <v>44943</v>
      </c>
      <c r="F152" s="8">
        <v>5003603516</v>
      </c>
      <c r="G152" t="s">
        <v>164</v>
      </c>
      <c r="H152" s="9">
        <v>1043.19</v>
      </c>
      <c r="I152" s="10">
        <v>16</v>
      </c>
      <c r="J152" s="9">
        <v>16691.04</v>
      </c>
      <c r="K152" s="11">
        <v>216244.32</v>
      </c>
      <c r="L152" s="7">
        <v>44943</v>
      </c>
    </row>
    <row r="153" spans="1:12" x14ac:dyDescent="0.35">
      <c r="A153">
        <v>5116661490</v>
      </c>
      <c r="B153" t="s">
        <v>328</v>
      </c>
      <c r="C153">
        <v>2</v>
      </c>
      <c r="D153" s="6" t="s">
        <v>329</v>
      </c>
      <c r="E153" s="7">
        <v>44943</v>
      </c>
      <c r="F153" s="8">
        <v>5003606166</v>
      </c>
      <c r="G153" t="s">
        <v>105</v>
      </c>
      <c r="H153" s="9">
        <v>1388.88</v>
      </c>
      <c r="I153" s="10">
        <v>76</v>
      </c>
      <c r="J153" s="9">
        <v>105554.88</v>
      </c>
      <c r="K153" s="11">
        <v>216244.32</v>
      </c>
      <c r="L153" s="7">
        <v>44943</v>
      </c>
    </row>
    <row r="154" spans="1:12" x14ac:dyDescent="0.35">
      <c r="A154">
        <v>5116661490</v>
      </c>
      <c r="B154" t="s">
        <v>330</v>
      </c>
      <c r="C154">
        <v>3</v>
      </c>
      <c r="D154" s="6" t="s">
        <v>329</v>
      </c>
      <c r="E154" s="7">
        <v>44943</v>
      </c>
      <c r="F154" s="8">
        <v>5003606166</v>
      </c>
      <c r="G154" t="s">
        <v>331</v>
      </c>
      <c r="H154" s="9">
        <v>1195.8</v>
      </c>
      <c r="I154" s="10">
        <v>32</v>
      </c>
      <c r="J154" s="9">
        <v>38265.599999999999</v>
      </c>
      <c r="K154" s="11">
        <v>216244.32</v>
      </c>
      <c r="L154" s="7">
        <v>44943</v>
      </c>
    </row>
    <row r="155" spans="1:12" x14ac:dyDescent="0.35">
      <c r="A155">
        <v>5116661490</v>
      </c>
      <c r="B155" t="s">
        <v>332</v>
      </c>
      <c r="C155">
        <v>4</v>
      </c>
      <c r="D155" s="6" t="s">
        <v>327</v>
      </c>
      <c r="E155" s="7">
        <v>44943</v>
      </c>
      <c r="F155" s="8">
        <v>5003631183</v>
      </c>
      <c r="G155" t="s">
        <v>66</v>
      </c>
      <c r="H155" s="9">
        <v>1195.05</v>
      </c>
      <c r="I155" s="10">
        <v>24</v>
      </c>
      <c r="J155" s="9">
        <v>28681.200000000001</v>
      </c>
      <c r="K155" s="11">
        <v>216244.32</v>
      </c>
      <c r="L155" s="7">
        <v>44943</v>
      </c>
    </row>
    <row r="156" spans="1:12" x14ac:dyDescent="0.35">
      <c r="A156">
        <v>5116661490</v>
      </c>
      <c r="B156" t="s">
        <v>333</v>
      </c>
      <c r="C156">
        <v>5</v>
      </c>
      <c r="D156" s="6" t="s">
        <v>327</v>
      </c>
      <c r="E156" s="7">
        <v>44943</v>
      </c>
      <c r="F156" s="8">
        <v>5003644767</v>
      </c>
      <c r="G156" t="s">
        <v>334</v>
      </c>
      <c r="H156" s="9">
        <v>1127.1499999999999</v>
      </c>
      <c r="I156" s="10">
        <v>24</v>
      </c>
      <c r="J156" s="9">
        <v>27051.599999999999</v>
      </c>
      <c r="K156" s="11">
        <v>216244.32</v>
      </c>
      <c r="L156" s="7">
        <v>44943</v>
      </c>
    </row>
    <row r="157" spans="1:12" x14ac:dyDescent="0.35">
      <c r="A157">
        <v>5116661284</v>
      </c>
      <c r="B157" t="s">
        <v>335</v>
      </c>
      <c r="C157">
        <v>1</v>
      </c>
      <c r="D157" s="6" t="s">
        <v>336</v>
      </c>
      <c r="E157" s="7">
        <v>44937</v>
      </c>
      <c r="F157" s="8">
        <v>5003619269</v>
      </c>
      <c r="G157" t="s">
        <v>337</v>
      </c>
      <c r="H157" s="9">
        <v>6829.92</v>
      </c>
      <c r="I157" s="10">
        <v>1</v>
      </c>
      <c r="J157" s="9">
        <v>6829.92</v>
      </c>
      <c r="K157" s="11">
        <v>6829.92</v>
      </c>
      <c r="L157" s="7">
        <v>44943</v>
      </c>
    </row>
    <row r="158" spans="1:12" x14ac:dyDescent="0.35">
      <c r="A158">
        <v>5116661285</v>
      </c>
      <c r="B158" t="s">
        <v>338</v>
      </c>
      <c r="C158">
        <v>1</v>
      </c>
      <c r="D158" s="6" t="s">
        <v>339</v>
      </c>
      <c r="E158" s="7">
        <v>44937</v>
      </c>
      <c r="F158" s="8">
        <v>5003459800</v>
      </c>
      <c r="G158" t="s">
        <v>340</v>
      </c>
      <c r="H158" s="9">
        <v>21.080000000000002</v>
      </c>
      <c r="I158" s="10">
        <v>7</v>
      </c>
      <c r="J158" s="9">
        <v>147.56</v>
      </c>
      <c r="K158" s="11">
        <v>251.48</v>
      </c>
      <c r="L158" s="7">
        <v>44943</v>
      </c>
    </row>
    <row r="159" spans="1:12" x14ac:dyDescent="0.35">
      <c r="A159">
        <v>5116661285</v>
      </c>
      <c r="B159" t="s">
        <v>341</v>
      </c>
      <c r="C159">
        <v>2</v>
      </c>
      <c r="D159" s="6" t="s">
        <v>339</v>
      </c>
      <c r="E159" s="7">
        <v>44937</v>
      </c>
      <c r="F159" s="8">
        <v>5003459800</v>
      </c>
      <c r="G159" t="s">
        <v>342</v>
      </c>
      <c r="H159" s="9">
        <v>5.7600000000000007</v>
      </c>
      <c r="I159" s="10">
        <v>15</v>
      </c>
      <c r="J159" s="9">
        <v>86.4</v>
      </c>
      <c r="K159" s="11">
        <v>251.48</v>
      </c>
      <c r="L159" s="7">
        <v>44943</v>
      </c>
    </row>
    <row r="160" spans="1:12" x14ac:dyDescent="0.35">
      <c r="A160">
        <v>5116661285</v>
      </c>
      <c r="B160" t="s">
        <v>343</v>
      </c>
      <c r="C160">
        <v>3</v>
      </c>
      <c r="D160" s="6" t="s">
        <v>339</v>
      </c>
      <c r="E160" s="7">
        <v>44937</v>
      </c>
      <c r="F160" s="8">
        <v>5003459800</v>
      </c>
      <c r="G160" t="s">
        <v>344</v>
      </c>
      <c r="H160" s="9">
        <v>5.84</v>
      </c>
      <c r="I160" s="10">
        <v>3</v>
      </c>
      <c r="J160" s="9">
        <v>17.52</v>
      </c>
      <c r="K160" s="11">
        <v>251.48</v>
      </c>
      <c r="L160" s="7">
        <v>44943</v>
      </c>
    </row>
  </sheetData>
  <autoFilter ref="A2:L2" xr:uid="{8186FF3A-DDF5-48B2-9417-4E0096861E56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F6AD4-BDF9-4791-9EAF-6BD16FEC5B29}">
  <sheetPr codeName="Sheet3" filterMode="1"/>
  <dimension ref="A1:L160"/>
  <sheetViews>
    <sheetView workbookViewId="0">
      <selection activeCell="B3" sqref="B3"/>
    </sheetView>
  </sheetViews>
  <sheetFormatPr defaultRowHeight="14.5" x14ac:dyDescent="0.35"/>
  <cols>
    <col min="1" max="1" width="24.26953125" customWidth="1"/>
    <col min="2" max="2" width="16.1796875" bestFit="1" customWidth="1"/>
    <col min="3" max="3" width="11.36328125" bestFit="1" customWidth="1"/>
    <col min="4" max="4" width="8.81640625" bestFit="1" customWidth="1"/>
    <col min="5" max="5" width="10.81640625" bestFit="1" customWidth="1"/>
    <col min="6" max="6" width="18.453125" bestFit="1" customWidth="1"/>
    <col min="7" max="7" width="11" customWidth="1"/>
    <col min="8" max="8" width="10.1796875" bestFit="1" customWidth="1"/>
    <col min="10" max="10" width="14.453125" bestFit="1" customWidth="1"/>
    <col min="12" max="12" width="11.08984375" bestFit="1" customWidth="1"/>
  </cols>
  <sheetData>
    <row r="1" spans="1:12" x14ac:dyDescent="0.35">
      <c r="F1" s="13">
        <f>SUBTOTAL(9,F3:F160)</f>
        <v>763767.42999999959</v>
      </c>
    </row>
    <row r="2" spans="1:12" x14ac:dyDescent="0.35">
      <c r="A2" s="1" t="s">
        <v>1</v>
      </c>
      <c r="B2" s="2" t="s">
        <v>3</v>
      </c>
      <c r="C2" s="3" t="s">
        <v>5</v>
      </c>
      <c r="D2" s="5" t="s">
        <v>11</v>
      </c>
      <c r="E2" s="1" t="s">
        <v>0</v>
      </c>
      <c r="F2" s="4" t="s">
        <v>9</v>
      </c>
      <c r="G2" s="4" t="s">
        <v>8</v>
      </c>
      <c r="H2" s="4" t="s">
        <v>7</v>
      </c>
      <c r="I2" s="12" t="s">
        <v>348</v>
      </c>
      <c r="J2" s="1" t="s">
        <v>6</v>
      </c>
    </row>
    <row r="3" spans="1:12" x14ac:dyDescent="0.35">
      <c r="A3" t="s">
        <v>12</v>
      </c>
      <c r="B3" s="6" t="s">
        <v>350</v>
      </c>
      <c r="C3" s="8">
        <v>5003527928</v>
      </c>
      <c r="D3" s="7">
        <v>44942</v>
      </c>
      <c r="E3">
        <v>5116660217</v>
      </c>
      <c r="F3" s="9">
        <v>1358</v>
      </c>
      <c r="G3" s="10">
        <v>200</v>
      </c>
      <c r="H3" s="9">
        <v>6.79</v>
      </c>
      <c r="I3" t="s">
        <v>399</v>
      </c>
      <c r="J3" t="s">
        <v>14</v>
      </c>
      <c r="L3" s="14"/>
    </row>
    <row r="4" spans="1:12" x14ac:dyDescent="0.35">
      <c r="A4" t="s">
        <v>15</v>
      </c>
      <c r="B4" s="6" t="s">
        <v>350</v>
      </c>
      <c r="C4" s="8">
        <v>5003564185</v>
      </c>
      <c r="D4" s="7">
        <v>44942</v>
      </c>
      <c r="E4">
        <v>5116660218</v>
      </c>
      <c r="F4" s="9">
        <v>16.920000000000002</v>
      </c>
      <c r="G4" s="10">
        <v>2</v>
      </c>
      <c r="H4" s="9">
        <v>8.4600000000000009</v>
      </c>
      <c r="I4" t="s">
        <v>399</v>
      </c>
      <c r="J4" t="s">
        <v>16</v>
      </c>
      <c r="L4" s="14"/>
    </row>
    <row r="5" spans="1:12" x14ac:dyDescent="0.35">
      <c r="A5" t="s">
        <v>17</v>
      </c>
      <c r="B5" s="6" t="s">
        <v>351</v>
      </c>
      <c r="C5" s="8">
        <v>5003598214</v>
      </c>
      <c r="D5" s="7">
        <v>44942</v>
      </c>
      <c r="E5">
        <v>5116660219</v>
      </c>
      <c r="F5" s="9">
        <v>8380.2000000000007</v>
      </c>
      <c r="G5" s="10">
        <v>60</v>
      </c>
      <c r="H5" s="9">
        <v>139.67000000000002</v>
      </c>
      <c r="I5" t="s">
        <v>399</v>
      </c>
      <c r="J5" t="s">
        <v>19</v>
      </c>
      <c r="L5" s="14"/>
    </row>
    <row r="6" spans="1:12" x14ac:dyDescent="0.35">
      <c r="A6" t="s">
        <v>20</v>
      </c>
      <c r="B6" s="6" t="s">
        <v>351</v>
      </c>
      <c r="C6" s="8">
        <v>5003603610</v>
      </c>
      <c r="D6" s="7">
        <v>44942</v>
      </c>
      <c r="E6">
        <v>5116660330</v>
      </c>
      <c r="F6" s="9">
        <v>668.45</v>
      </c>
      <c r="G6" s="10">
        <v>5</v>
      </c>
      <c r="H6" s="9">
        <v>133.69</v>
      </c>
      <c r="I6" t="s">
        <v>399</v>
      </c>
      <c r="J6" t="s">
        <v>21</v>
      </c>
      <c r="L6" s="14"/>
    </row>
    <row r="7" spans="1:12" x14ac:dyDescent="0.35">
      <c r="A7" t="s">
        <v>22</v>
      </c>
      <c r="B7" s="6" t="s">
        <v>350</v>
      </c>
      <c r="C7" s="8">
        <v>5003636516</v>
      </c>
      <c r="D7" s="7">
        <v>44942</v>
      </c>
      <c r="E7">
        <v>5116660331</v>
      </c>
      <c r="F7" s="9">
        <v>92.05</v>
      </c>
      <c r="G7" s="10">
        <v>5</v>
      </c>
      <c r="H7" s="9">
        <v>18.41</v>
      </c>
      <c r="I7" t="s">
        <v>399</v>
      </c>
      <c r="J7" t="s">
        <v>23</v>
      </c>
      <c r="L7" s="14"/>
    </row>
    <row r="8" spans="1:12" x14ac:dyDescent="0.35">
      <c r="A8" t="s">
        <v>24</v>
      </c>
      <c r="B8" s="6" t="s">
        <v>352</v>
      </c>
      <c r="C8" s="8">
        <v>5003450192</v>
      </c>
      <c r="D8" s="7">
        <v>44944</v>
      </c>
      <c r="E8">
        <v>5116667552</v>
      </c>
      <c r="F8" s="9">
        <v>975.4</v>
      </c>
      <c r="G8" s="10">
        <v>5</v>
      </c>
      <c r="H8" s="9">
        <v>195.07999999999998</v>
      </c>
      <c r="I8" t="s">
        <v>399</v>
      </c>
      <c r="J8" t="s">
        <v>26</v>
      </c>
      <c r="L8" s="14"/>
    </row>
    <row r="9" spans="1:12" x14ac:dyDescent="0.35">
      <c r="A9" t="s">
        <v>27</v>
      </c>
      <c r="B9" s="6" t="s">
        <v>353</v>
      </c>
      <c r="C9" s="8">
        <v>5003497527</v>
      </c>
      <c r="D9" s="7">
        <v>44944</v>
      </c>
      <c r="E9">
        <v>5116667553</v>
      </c>
      <c r="F9" s="9">
        <v>39.4</v>
      </c>
      <c r="G9" s="10">
        <v>4</v>
      </c>
      <c r="H9" s="9">
        <v>9.85</v>
      </c>
      <c r="I9" t="s">
        <v>399</v>
      </c>
      <c r="J9" t="s">
        <v>29</v>
      </c>
      <c r="L9" s="14"/>
    </row>
    <row r="10" spans="1:12" x14ac:dyDescent="0.35">
      <c r="A10" t="s">
        <v>30</v>
      </c>
      <c r="B10" s="6" t="s">
        <v>354</v>
      </c>
      <c r="C10" s="8">
        <v>5003520592</v>
      </c>
      <c r="D10" s="7">
        <v>44944</v>
      </c>
      <c r="E10">
        <v>5116667554</v>
      </c>
      <c r="F10" s="9">
        <v>32.72</v>
      </c>
      <c r="G10" s="10">
        <v>8</v>
      </c>
      <c r="H10" s="9">
        <v>4.09</v>
      </c>
      <c r="I10" t="s">
        <v>399</v>
      </c>
      <c r="J10" t="s">
        <v>32</v>
      </c>
      <c r="L10" s="14"/>
    </row>
    <row r="11" spans="1:12" x14ac:dyDescent="0.35">
      <c r="A11" t="s">
        <v>33</v>
      </c>
      <c r="B11" s="6" t="s">
        <v>354</v>
      </c>
      <c r="C11" s="8">
        <v>5003556635</v>
      </c>
      <c r="D11" s="7">
        <v>44944</v>
      </c>
      <c r="E11">
        <v>5116667556</v>
      </c>
      <c r="F11" s="9">
        <v>58.8</v>
      </c>
      <c r="G11" s="10">
        <v>60</v>
      </c>
      <c r="H11" s="9">
        <v>0.98</v>
      </c>
      <c r="I11" t="s">
        <v>399</v>
      </c>
      <c r="J11" t="s">
        <v>34</v>
      </c>
      <c r="L11" s="14"/>
    </row>
    <row r="12" spans="1:12" x14ac:dyDescent="0.35">
      <c r="A12" t="s">
        <v>35</v>
      </c>
      <c r="B12" s="6" t="s">
        <v>354</v>
      </c>
      <c r="C12" s="8">
        <v>5003567912</v>
      </c>
      <c r="D12" s="7">
        <v>44944</v>
      </c>
      <c r="E12">
        <v>5116667557</v>
      </c>
      <c r="F12" s="9">
        <v>8.18</v>
      </c>
      <c r="G12" s="10">
        <v>2</v>
      </c>
      <c r="H12" s="9">
        <v>4.09</v>
      </c>
      <c r="I12" t="s">
        <v>399</v>
      </c>
      <c r="J12" t="s">
        <v>32</v>
      </c>
      <c r="L12" s="14"/>
    </row>
    <row r="13" spans="1:12" x14ac:dyDescent="0.35">
      <c r="A13" t="s">
        <v>36</v>
      </c>
      <c r="B13" s="6" t="s">
        <v>354</v>
      </c>
      <c r="C13" s="8">
        <v>5003567912</v>
      </c>
      <c r="D13" s="7">
        <v>44944</v>
      </c>
      <c r="E13">
        <v>5116667557</v>
      </c>
      <c r="F13" s="9">
        <v>68.34</v>
      </c>
      <c r="G13" s="10">
        <v>34</v>
      </c>
      <c r="H13" s="9">
        <v>2.0100000000000002</v>
      </c>
      <c r="I13" t="s">
        <v>399</v>
      </c>
      <c r="J13" t="s">
        <v>37</v>
      </c>
      <c r="L13" s="14"/>
    </row>
    <row r="14" spans="1:12" x14ac:dyDescent="0.35">
      <c r="A14" t="s">
        <v>38</v>
      </c>
      <c r="B14" s="6" t="s">
        <v>354</v>
      </c>
      <c r="C14" s="8">
        <v>5003573839</v>
      </c>
      <c r="D14" s="7">
        <v>44944</v>
      </c>
      <c r="E14">
        <v>5116667558</v>
      </c>
      <c r="F14" s="9">
        <v>157.6</v>
      </c>
      <c r="G14" s="10">
        <v>16</v>
      </c>
      <c r="H14" s="9">
        <v>9.85</v>
      </c>
      <c r="I14" t="s">
        <v>399</v>
      </c>
      <c r="J14" t="s">
        <v>29</v>
      </c>
      <c r="L14" s="14"/>
    </row>
    <row r="15" spans="1:12" x14ac:dyDescent="0.35">
      <c r="A15" t="s">
        <v>39</v>
      </c>
      <c r="B15" s="6" t="s">
        <v>354</v>
      </c>
      <c r="C15" s="8">
        <v>5003605724</v>
      </c>
      <c r="D15" s="7">
        <v>44944</v>
      </c>
      <c r="E15">
        <v>5116667560</v>
      </c>
      <c r="F15" s="9">
        <v>2716</v>
      </c>
      <c r="G15" s="10">
        <v>400</v>
      </c>
      <c r="H15" s="9">
        <v>6.79</v>
      </c>
      <c r="I15" t="s">
        <v>399</v>
      </c>
      <c r="J15" t="s">
        <v>14</v>
      </c>
      <c r="L15" s="14"/>
    </row>
    <row r="16" spans="1:12" x14ac:dyDescent="0.35">
      <c r="A16" t="s">
        <v>40</v>
      </c>
      <c r="B16" s="6" t="s">
        <v>354</v>
      </c>
      <c r="C16" s="8">
        <v>5003607728</v>
      </c>
      <c r="D16" s="7">
        <v>44944</v>
      </c>
      <c r="E16">
        <v>5116667561</v>
      </c>
      <c r="F16" s="9">
        <v>239.33</v>
      </c>
      <c r="G16" s="10">
        <v>13</v>
      </c>
      <c r="H16" s="9">
        <v>18.41</v>
      </c>
      <c r="I16" t="s">
        <v>399</v>
      </c>
      <c r="J16" t="s">
        <v>23</v>
      </c>
      <c r="L16" s="14"/>
    </row>
    <row r="17" spans="1:12" x14ac:dyDescent="0.35">
      <c r="A17" t="s">
        <v>41</v>
      </c>
      <c r="B17" s="6" t="s">
        <v>352</v>
      </c>
      <c r="C17" s="8">
        <v>5003613512</v>
      </c>
      <c r="D17" s="7">
        <v>44944</v>
      </c>
      <c r="E17">
        <v>5116667562</v>
      </c>
      <c r="F17" s="9">
        <v>499.24</v>
      </c>
      <c r="G17" s="10">
        <v>4</v>
      </c>
      <c r="H17" s="9">
        <v>124.81</v>
      </c>
      <c r="I17" t="s">
        <v>399</v>
      </c>
      <c r="J17">
        <v>6</v>
      </c>
      <c r="L17" s="14"/>
    </row>
    <row r="18" spans="1:12" x14ac:dyDescent="0.35">
      <c r="A18" t="s">
        <v>42</v>
      </c>
      <c r="B18" s="6" t="s">
        <v>352</v>
      </c>
      <c r="C18" s="8">
        <v>5003620754</v>
      </c>
      <c r="D18" s="7">
        <v>44944</v>
      </c>
      <c r="E18">
        <v>5116667563</v>
      </c>
      <c r="F18" s="9">
        <v>405</v>
      </c>
      <c r="G18" s="10">
        <v>1</v>
      </c>
      <c r="H18" s="9">
        <v>405</v>
      </c>
      <c r="I18" t="s">
        <v>399</v>
      </c>
      <c r="J18" t="s">
        <v>43</v>
      </c>
      <c r="L18" s="14"/>
    </row>
    <row r="19" spans="1:12" x14ac:dyDescent="0.35">
      <c r="A19" t="s">
        <v>44</v>
      </c>
      <c r="B19" s="6" t="s">
        <v>352</v>
      </c>
      <c r="C19" s="8">
        <v>5003621815</v>
      </c>
      <c r="D19" s="7">
        <v>44944</v>
      </c>
      <c r="E19">
        <v>5116667564</v>
      </c>
      <c r="F19" s="9">
        <v>1532.86</v>
      </c>
      <c r="G19" s="10">
        <v>14</v>
      </c>
      <c r="H19" s="9">
        <v>109.49</v>
      </c>
      <c r="I19" t="s">
        <v>399</v>
      </c>
      <c r="J19" t="s">
        <v>45</v>
      </c>
      <c r="L19" s="14"/>
    </row>
    <row r="20" spans="1:12" x14ac:dyDescent="0.35">
      <c r="A20" t="s">
        <v>46</v>
      </c>
      <c r="B20" s="6" t="s">
        <v>352</v>
      </c>
      <c r="C20" s="8">
        <v>5003623538</v>
      </c>
      <c r="D20" s="7">
        <v>44944</v>
      </c>
      <c r="E20">
        <v>5116667565</v>
      </c>
      <c r="F20" s="9">
        <v>1756.92</v>
      </c>
      <c r="G20" s="10">
        <v>12</v>
      </c>
      <c r="H20" s="9">
        <v>146.41</v>
      </c>
      <c r="I20" t="s">
        <v>399</v>
      </c>
      <c r="J20" t="s">
        <v>47</v>
      </c>
      <c r="L20" s="14"/>
    </row>
    <row r="21" spans="1:12" hidden="1" x14ac:dyDescent="0.35">
      <c r="A21" t="s">
        <v>48</v>
      </c>
      <c r="B21" s="6" t="s">
        <v>355</v>
      </c>
      <c r="C21" s="8">
        <v>5003653001</v>
      </c>
      <c r="D21" s="7">
        <v>44944</v>
      </c>
      <c r="E21">
        <v>5116667568</v>
      </c>
      <c r="F21" s="9">
        <v>397.2</v>
      </c>
      <c r="G21" s="10">
        <v>40</v>
      </c>
      <c r="H21" s="9">
        <v>9.93</v>
      </c>
      <c r="I21" t="s">
        <v>403</v>
      </c>
      <c r="L21" s="14"/>
    </row>
    <row r="22" spans="1:12" hidden="1" x14ac:dyDescent="0.35">
      <c r="A22" t="s">
        <v>50</v>
      </c>
      <c r="B22" s="6" t="s">
        <v>355</v>
      </c>
      <c r="C22" s="8">
        <v>5003653001</v>
      </c>
      <c r="D22" s="7">
        <v>44944</v>
      </c>
      <c r="E22">
        <v>5116667568</v>
      </c>
      <c r="F22" s="9">
        <v>5166.26</v>
      </c>
      <c r="G22" s="10">
        <v>1</v>
      </c>
      <c r="H22" s="9">
        <v>5166.26</v>
      </c>
      <c r="I22" t="s">
        <v>403</v>
      </c>
      <c r="L22" s="14"/>
    </row>
    <row r="23" spans="1:12" x14ac:dyDescent="0.35">
      <c r="A23" t="s">
        <v>51</v>
      </c>
      <c r="B23" s="6" t="s">
        <v>356</v>
      </c>
      <c r="C23" s="8">
        <v>5003507920</v>
      </c>
      <c r="D23" s="7">
        <v>44944</v>
      </c>
      <c r="E23">
        <v>5116667590</v>
      </c>
      <c r="F23" s="9">
        <v>90531.92</v>
      </c>
      <c r="G23" s="10">
        <v>8</v>
      </c>
      <c r="H23" s="9">
        <v>11316.49</v>
      </c>
      <c r="I23" t="s">
        <v>399</v>
      </c>
      <c r="J23" t="s">
        <v>53</v>
      </c>
      <c r="L23" s="14"/>
    </row>
    <row r="24" spans="1:12" x14ac:dyDescent="0.35">
      <c r="A24" t="s">
        <v>54</v>
      </c>
      <c r="B24" s="6" t="s">
        <v>356</v>
      </c>
      <c r="C24" s="8">
        <v>5003507939</v>
      </c>
      <c r="D24" s="7">
        <v>44944</v>
      </c>
      <c r="E24">
        <v>5116667591</v>
      </c>
      <c r="F24" s="9">
        <v>22632.98</v>
      </c>
      <c r="G24" s="10">
        <v>2</v>
      </c>
      <c r="H24" s="9">
        <v>11316.49</v>
      </c>
      <c r="I24" t="s">
        <v>399</v>
      </c>
      <c r="J24" t="s">
        <v>55</v>
      </c>
      <c r="L24" s="14"/>
    </row>
    <row r="25" spans="1:12" x14ac:dyDescent="0.35">
      <c r="A25" t="s">
        <v>56</v>
      </c>
      <c r="B25" s="6" t="s">
        <v>357</v>
      </c>
      <c r="C25" s="8">
        <v>5003611200</v>
      </c>
      <c r="D25" s="7">
        <v>44944</v>
      </c>
      <c r="E25">
        <v>5116667592</v>
      </c>
      <c r="F25" s="9">
        <v>25513.3</v>
      </c>
      <c r="G25" s="10">
        <v>10</v>
      </c>
      <c r="H25" s="9">
        <v>2551.33</v>
      </c>
      <c r="I25" t="s">
        <v>399</v>
      </c>
      <c r="J25" t="s">
        <v>58</v>
      </c>
      <c r="L25" s="14"/>
    </row>
    <row r="26" spans="1:12" x14ac:dyDescent="0.35">
      <c r="A26" t="s">
        <v>59</v>
      </c>
      <c r="B26" s="6" t="s">
        <v>358</v>
      </c>
      <c r="C26" s="8">
        <v>5003614551</v>
      </c>
      <c r="D26" s="7">
        <v>44943</v>
      </c>
      <c r="E26">
        <v>5116667593</v>
      </c>
      <c r="F26" s="9">
        <v>22780.799999999999</v>
      </c>
      <c r="G26" s="10">
        <v>40</v>
      </c>
      <c r="H26" s="9">
        <v>569.52</v>
      </c>
      <c r="I26" t="s">
        <v>399</v>
      </c>
      <c r="J26" t="s">
        <v>61</v>
      </c>
      <c r="L26" s="14"/>
    </row>
    <row r="27" spans="1:12" x14ac:dyDescent="0.35">
      <c r="A27" t="s">
        <v>62</v>
      </c>
      <c r="B27" s="6" t="s">
        <v>358</v>
      </c>
      <c r="C27" s="8">
        <v>5003614579</v>
      </c>
      <c r="D27" s="7">
        <v>44943</v>
      </c>
      <c r="E27">
        <v>5116667594</v>
      </c>
      <c r="F27" s="9">
        <v>25535.599999999999</v>
      </c>
      <c r="G27" s="10">
        <v>10</v>
      </c>
      <c r="H27" s="9">
        <v>2553.56</v>
      </c>
      <c r="I27" t="s">
        <v>399</v>
      </c>
      <c r="J27" t="s">
        <v>63</v>
      </c>
      <c r="L27" s="14"/>
    </row>
    <row r="28" spans="1:12" x14ac:dyDescent="0.35">
      <c r="A28" t="s">
        <v>64</v>
      </c>
      <c r="B28" s="6" t="s">
        <v>359</v>
      </c>
      <c r="C28" s="8">
        <v>5003631185</v>
      </c>
      <c r="D28" s="7">
        <v>44943</v>
      </c>
      <c r="E28">
        <v>5116667595</v>
      </c>
      <c r="F28" s="9">
        <v>14340.6</v>
      </c>
      <c r="G28" s="10">
        <v>12</v>
      </c>
      <c r="H28" s="9">
        <v>1195.05</v>
      </c>
      <c r="I28" t="s">
        <v>399</v>
      </c>
      <c r="J28" t="s">
        <v>66</v>
      </c>
      <c r="L28" s="14"/>
    </row>
    <row r="29" spans="1:12" x14ac:dyDescent="0.35">
      <c r="A29" t="s">
        <v>67</v>
      </c>
      <c r="B29" s="6" t="s">
        <v>360</v>
      </c>
      <c r="C29" s="8">
        <v>5003634382</v>
      </c>
      <c r="D29" s="7">
        <v>44943</v>
      </c>
      <c r="E29">
        <v>5116667567</v>
      </c>
      <c r="F29" s="9">
        <v>571.79999999999995</v>
      </c>
      <c r="G29" s="10">
        <v>20</v>
      </c>
      <c r="H29" s="9">
        <v>28.589999999999996</v>
      </c>
      <c r="I29" t="s">
        <v>399</v>
      </c>
      <c r="J29" t="s">
        <v>69</v>
      </c>
      <c r="L29" s="14"/>
    </row>
    <row r="30" spans="1:12" x14ac:dyDescent="0.35">
      <c r="A30" t="s">
        <v>70</v>
      </c>
      <c r="B30" s="6" t="s">
        <v>352</v>
      </c>
      <c r="C30" s="8">
        <v>5003553241</v>
      </c>
      <c r="D30" s="7">
        <v>44944</v>
      </c>
      <c r="E30">
        <v>5116667555</v>
      </c>
      <c r="F30" s="9">
        <v>214.92</v>
      </c>
      <c r="G30" s="10">
        <v>1</v>
      </c>
      <c r="H30" s="9">
        <v>214.92</v>
      </c>
      <c r="I30" t="s">
        <v>399</v>
      </c>
      <c r="J30" t="s">
        <v>71</v>
      </c>
      <c r="L30" s="14"/>
    </row>
    <row r="31" spans="1:12" x14ac:dyDescent="0.35">
      <c r="A31" t="s">
        <v>72</v>
      </c>
      <c r="B31" s="6" t="s">
        <v>352</v>
      </c>
      <c r="C31" s="8">
        <v>5003590640</v>
      </c>
      <c r="D31" s="7">
        <v>44944</v>
      </c>
      <c r="E31">
        <v>5116667559</v>
      </c>
      <c r="F31" s="9">
        <v>222.8</v>
      </c>
      <c r="G31" s="10">
        <v>5</v>
      </c>
      <c r="H31" s="9">
        <v>44.56</v>
      </c>
      <c r="I31" t="s">
        <v>399</v>
      </c>
      <c r="J31" t="s">
        <v>73</v>
      </c>
      <c r="L31" s="14"/>
    </row>
    <row r="32" spans="1:12" x14ac:dyDescent="0.35">
      <c r="A32" t="s">
        <v>74</v>
      </c>
      <c r="B32" s="6" t="s">
        <v>361</v>
      </c>
      <c r="C32" s="8">
        <v>5003623596</v>
      </c>
      <c r="D32" s="7">
        <v>44944</v>
      </c>
      <c r="E32">
        <v>5116667566</v>
      </c>
      <c r="F32" s="9">
        <v>318.02999999999997</v>
      </c>
      <c r="G32" s="10">
        <v>3</v>
      </c>
      <c r="H32" s="9">
        <v>106.00999999999999</v>
      </c>
      <c r="I32" t="s">
        <v>399</v>
      </c>
      <c r="J32" t="s">
        <v>76</v>
      </c>
      <c r="L32" s="14"/>
    </row>
    <row r="33" spans="1:12" hidden="1" x14ac:dyDescent="0.35">
      <c r="A33" t="s">
        <v>77</v>
      </c>
      <c r="B33" s="6">
        <v>2300944</v>
      </c>
      <c r="C33" s="8">
        <v>2351636785</v>
      </c>
      <c r="D33" s="7">
        <v>44944</v>
      </c>
      <c r="E33">
        <v>5116667952</v>
      </c>
      <c r="F33" s="9">
        <v>32.979999999999997</v>
      </c>
      <c r="G33" s="10">
        <v>34</v>
      </c>
      <c r="H33" s="9">
        <v>0.96999999999999986</v>
      </c>
      <c r="I33" t="s">
        <v>399</v>
      </c>
      <c r="J33" t="s">
        <v>79</v>
      </c>
      <c r="L33" s="14"/>
    </row>
    <row r="34" spans="1:12" x14ac:dyDescent="0.35">
      <c r="A34" t="s">
        <v>80</v>
      </c>
      <c r="B34" s="6" t="s">
        <v>362</v>
      </c>
      <c r="C34" s="8">
        <v>2351641181</v>
      </c>
      <c r="D34" s="7">
        <v>44944</v>
      </c>
      <c r="E34">
        <v>5116667953</v>
      </c>
      <c r="F34" s="9">
        <v>5.7</v>
      </c>
      <c r="G34" s="10">
        <v>30</v>
      </c>
      <c r="H34" s="9">
        <v>0.19</v>
      </c>
      <c r="I34" t="s">
        <v>399</v>
      </c>
      <c r="J34" t="s">
        <v>82</v>
      </c>
      <c r="L34" s="14"/>
    </row>
    <row r="35" spans="1:12" x14ac:dyDescent="0.35">
      <c r="A35" t="s">
        <v>83</v>
      </c>
      <c r="B35" s="6" t="s">
        <v>362</v>
      </c>
      <c r="C35" s="8">
        <v>2351648296</v>
      </c>
      <c r="D35" s="7">
        <v>44944</v>
      </c>
      <c r="E35">
        <v>5116667955</v>
      </c>
      <c r="F35" s="9">
        <v>24.3</v>
      </c>
      <c r="G35" s="10">
        <v>27</v>
      </c>
      <c r="H35" s="9">
        <v>0.9</v>
      </c>
      <c r="I35" t="s">
        <v>399</v>
      </c>
      <c r="J35" t="s">
        <v>84</v>
      </c>
      <c r="L35" s="14"/>
    </row>
    <row r="36" spans="1:12" hidden="1" x14ac:dyDescent="0.35">
      <c r="A36" t="s">
        <v>85</v>
      </c>
      <c r="B36" s="6">
        <v>2300944</v>
      </c>
      <c r="C36" s="8">
        <v>2351654595</v>
      </c>
      <c r="D36" s="7">
        <v>44944</v>
      </c>
      <c r="E36">
        <v>5116667956</v>
      </c>
      <c r="F36" s="9">
        <v>18.43</v>
      </c>
      <c r="G36" s="10">
        <v>19</v>
      </c>
      <c r="H36" s="9">
        <v>0.97</v>
      </c>
      <c r="I36" t="s">
        <v>400</v>
      </c>
      <c r="J36" t="s">
        <v>79</v>
      </c>
      <c r="L36" s="14"/>
    </row>
    <row r="37" spans="1:12" hidden="1" x14ac:dyDescent="0.35">
      <c r="A37" t="s">
        <v>86</v>
      </c>
      <c r="B37" s="6">
        <v>9622042210000610</v>
      </c>
      <c r="C37" s="8">
        <v>2351657513</v>
      </c>
      <c r="D37" s="7">
        <v>44944</v>
      </c>
      <c r="E37">
        <v>5116667957</v>
      </c>
      <c r="F37" s="9">
        <v>470.97</v>
      </c>
      <c r="G37" s="10">
        <v>3</v>
      </c>
      <c r="H37" s="9">
        <v>156.99</v>
      </c>
      <c r="I37" t="s">
        <v>403</v>
      </c>
      <c r="J37" t="s">
        <v>88</v>
      </c>
      <c r="L37" s="14"/>
    </row>
    <row r="38" spans="1:12" hidden="1" x14ac:dyDescent="0.35">
      <c r="A38" t="s">
        <v>89</v>
      </c>
      <c r="B38" s="6">
        <v>9622042210000610</v>
      </c>
      <c r="C38" s="8">
        <v>2351657513</v>
      </c>
      <c r="D38" s="7">
        <v>44944</v>
      </c>
      <c r="E38">
        <v>5116667957</v>
      </c>
      <c r="F38" s="9">
        <v>4395.72</v>
      </c>
      <c r="G38" s="10">
        <v>28</v>
      </c>
      <c r="H38" s="9">
        <v>156.99</v>
      </c>
      <c r="I38" t="s">
        <v>403</v>
      </c>
      <c r="J38" t="s">
        <v>88</v>
      </c>
      <c r="L38" s="14"/>
    </row>
    <row r="39" spans="1:12" hidden="1" x14ac:dyDescent="0.35">
      <c r="A39" t="s">
        <v>90</v>
      </c>
      <c r="B39" s="6">
        <v>9622042210000610</v>
      </c>
      <c r="C39" s="8">
        <v>2351657513</v>
      </c>
      <c r="D39" s="7">
        <v>44944</v>
      </c>
      <c r="E39">
        <v>5116667957</v>
      </c>
      <c r="F39" s="9">
        <v>4238.7299999999996</v>
      </c>
      <c r="G39" s="10">
        <v>27</v>
      </c>
      <c r="H39" s="9">
        <v>156.98999999999998</v>
      </c>
      <c r="I39" t="s">
        <v>403</v>
      </c>
      <c r="J39" t="s">
        <v>88</v>
      </c>
      <c r="L39" s="14"/>
    </row>
    <row r="40" spans="1:12" x14ac:dyDescent="0.35">
      <c r="A40" t="s">
        <v>91</v>
      </c>
      <c r="B40" s="6" t="s">
        <v>363</v>
      </c>
      <c r="C40" s="8">
        <v>2351667069</v>
      </c>
      <c r="D40" s="7">
        <v>44944</v>
      </c>
      <c r="E40">
        <v>5116667958</v>
      </c>
      <c r="F40" s="9">
        <v>4425.6899999999996</v>
      </c>
      <c r="G40" s="10">
        <v>29</v>
      </c>
      <c r="H40" s="9">
        <v>152.60999999999999</v>
      </c>
      <c r="I40" t="s">
        <v>399</v>
      </c>
      <c r="J40" t="s">
        <v>93</v>
      </c>
      <c r="L40" s="14"/>
    </row>
    <row r="41" spans="1:12" hidden="1" x14ac:dyDescent="0.35">
      <c r="A41" t="s">
        <v>94</v>
      </c>
      <c r="B41" s="6">
        <v>9622042210000610</v>
      </c>
      <c r="C41" s="8">
        <v>2351668234</v>
      </c>
      <c r="D41" s="7">
        <v>44944</v>
      </c>
      <c r="E41">
        <v>5116667959</v>
      </c>
      <c r="F41" s="9">
        <v>520.70000000000005</v>
      </c>
      <c r="G41" s="10">
        <v>2</v>
      </c>
      <c r="H41" s="9">
        <v>260.35000000000002</v>
      </c>
      <c r="I41" t="s">
        <v>399</v>
      </c>
      <c r="J41" t="s">
        <v>95</v>
      </c>
      <c r="L41" s="14"/>
    </row>
    <row r="42" spans="1:12" x14ac:dyDescent="0.35">
      <c r="A42" t="s">
        <v>96</v>
      </c>
      <c r="B42" s="6" t="s">
        <v>362</v>
      </c>
      <c r="C42" s="8">
        <v>2351676430</v>
      </c>
      <c r="D42" s="7">
        <v>44944</v>
      </c>
      <c r="E42">
        <v>5116667960</v>
      </c>
      <c r="F42" s="9">
        <v>88.48</v>
      </c>
      <c r="G42" s="10">
        <v>7</v>
      </c>
      <c r="H42" s="9">
        <v>12.64</v>
      </c>
      <c r="I42" t="s">
        <v>399</v>
      </c>
      <c r="J42" t="s">
        <v>97</v>
      </c>
      <c r="L42" s="14"/>
    </row>
    <row r="43" spans="1:12" x14ac:dyDescent="0.35">
      <c r="A43" t="s">
        <v>98</v>
      </c>
      <c r="B43" s="6" t="s">
        <v>364</v>
      </c>
      <c r="C43" s="8">
        <v>2351632982</v>
      </c>
      <c r="D43" s="7">
        <v>44944</v>
      </c>
      <c r="E43">
        <v>5116667950</v>
      </c>
      <c r="F43" s="9">
        <v>513.24</v>
      </c>
      <c r="G43" s="10">
        <v>1</v>
      </c>
      <c r="H43" s="9">
        <v>513.24</v>
      </c>
      <c r="I43" t="s">
        <v>399</v>
      </c>
      <c r="J43" t="s">
        <v>100</v>
      </c>
      <c r="L43" s="14"/>
    </row>
    <row r="44" spans="1:12" x14ac:dyDescent="0.35">
      <c r="A44" t="s">
        <v>101</v>
      </c>
      <c r="B44" s="6" t="s">
        <v>364</v>
      </c>
      <c r="C44" s="8">
        <v>2351636021</v>
      </c>
      <c r="D44" s="7">
        <v>44944</v>
      </c>
      <c r="E44">
        <v>5116667951</v>
      </c>
      <c r="F44" s="9">
        <v>1539.72</v>
      </c>
      <c r="G44" s="10">
        <v>3</v>
      </c>
      <c r="H44" s="9">
        <v>513.24</v>
      </c>
      <c r="I44" t="s">
        <v>399</v>
      </c>
      <c r="J44" t="s">
        <v>100</v>
      </c>
      <c r="L44" s="14"/>
    </row>
    <row r="45" spans="1:12" x14ac:dyDescent="0.35">
      <c r="A45" t="s">
        <v>102</v>
      </c>
      <c r="B45" s="6" t="s">
        <v>364</v>
      </c>
      <c r="C45" s="8">
        <v>2351647844</v>
      </c>
      <c r="D45" s="7">
        <v>44944</v>
      </c>
      <c r="E45">
        <v>5116667954</v>
      </c>
      <c r="F45" s="9">
        <v>2052.96</v>
      </c>
      <c r="G45" s="10">
        <v>4</v>
      </c>
      <c r="H45" s="9">
        <v>513.24</v>
      </c>
      <c r="I45" t="s">
        <v>399</v>
      </c>
      <c r="J45" t="s">
        <v>100</v>
      </c>
      <c r="L45" s="14"/>
    </row>
    <row r="46" spans="1:12" x14ac:dyDescent="0.35">
      <c r="A46" t="s">
        <v>103</v>
      </c>
      <c r="B46" s="6" t="s">
        <v>365</v>
      </c>
      <c r="C46" s="8">
        <v>5003606166</v>
      </c>
      <c r="D46" s="7">
        <v>44939</v>
      </c>
      <c r="E46">
        <v>5116654219</v>
      </c>
      <c r="F46" s="9">
        <v>74999.520000000004</v>
      </c>
      <c r="G46" s="10">
        <v>54</v>
      </c>
      <c r="H46" s="9">
        <v>1388.88</v>
      </c>
      <c r="I46" t="s">
        <v>399</v>
      </c>
      <c r="J46" t="s">
        <v>105</v>
      </c>
      <c r="L46" s="14"/>
    </row>
    <row r="47" spans="1:12" x14ac:dyDescent="0.35">
      <c r="A47" t="s">
        <v>106</v>
      </c>
      <c r="B47" s="6" t="s">
        <v>366</v>
      </c>
      <c r="C47" s="8">
        <v>5003613845</v>
      </c>
      <c r="D47" s="7">
        <v>44939</v>
      </c>
      <c r="E47">
        <v>5116654219</v>
      </c>
      <c r="F47" s="9">
        <v>318.36</v>
      </c>
      <c r="G47" s="10">
        <v>7</v>
      </c>
      <c r="H47" s="9">
        <v>45.480000000000004</v>
      </c>
      <c r="I47" t="s">
        <v>399</v>
      </c>
      <c r="J47" t="s">
        <v>108</v>
      </c>
      <c r="L47" s="14"/>
    </row>
    <row r="48" spans="1:12" x14ac:dyDescent="0.35">
      <c r="A48" t="s">
        <v>109</v>
      </c>
      <c r="B48" s="6" t="s">
        <v>367</v>
      </c>
      <c r="C48" s="8">
        <v>5003618574</v>
      </c>
      <c r="D48" s="7">
        <v>44939</v>
      </c>
      <c r="E48">
        <v>5116654219</v>
      </c>
      <c r="F48" s="9">
        <v>29632.18</v>
      </c>
      <c r="G48" s="10">
        <v>157</v>
      </c>
      <c r="H48" s="9">
        <v>188.74</v>
      </c>
      <c r="I48" t="s">
        <v>399</v>
      </c>
      <c r="J48" t="s">
        <v>111</v>
      </c>
      <c r="L48" s="14"/>
    </row>
    <row r="49" spans="1:12" x14ac:dyDescent="0.35">
      <c r="A49" t="s">
        <v>112</v>
      </c>
      <c r="B49" s="6" t="s">
        <v>368</v>
      </c>
      <c r="C49" s="8">
        <v>5003618574</v>
      </c>
      <c r="D49" s="7">
        <v>44939</v>
      </c>
      <c r="E49">
        <v>5116654219</v>
      </c>
      <c r="F49" s="9">
        <v>12271.8</v>
      </c>
      <c r="G49" s="10">
        <v>60</v>
      </c>
      <c r="H49" s="9">
        <v>204.53</v>
      </c>
      <c r="I49" t="s">
        <v>399</v>
      </c>
      <c r="J49" t="s">
        <v>114</v>
      </c>
      <c r="L49" s="14"/>
    </row>
    <row r="50" spans="1:12" x14ac:dyDescent="0.35">
      <c r="A50" t="s">
        <v>115</v>
      </c>
      <c r="B50" s="6" t="s">
        <v>368</v>
      </c>
      <c r="C50" s="8">
        <v>5003619201</v>
      </c>
      <c r="D50" s="7">
        <v>44939</v>
      </c>
      <c r="E50">
        <v>5116654219</v>
      </c>
      <c r="F50" s="9">
        <v>17980.080000000002</v>
      </c>
      <c r="G50" s="10">
        <v>228</v>
      </c>
      <c r="H50" s="9">
        <v>78.860000000000014</v>
      </c>
      <c r="I50" t="s">
        <v>399</v>
      </c>
      <c r="J50" t="s">
        <v>116</v>
      </c>
      <c r="L50" s="14"/>
    </row>
    <row r="51" spans="1:12" x14ac:dyDescent="0.35">
      <c r="A51" t="s">
        <v>117</v>
      </c>
      <c r="B51" s="6" t="s">
        <v>366</v>
      </c>
      <c r="C51" s="8">
        <v>5003620622</v>
      </c>
      <c r="D51" s="7">
        <v>44939</v>
      </c>
      <c r="E51">
        <v>5116654219</v>
      </c>
      <c r="F51" s="9">
        <v>168.54</v>
      </c>
      <c r="G51" s="10">
        <v>3</v>
      </c>
      <c r="H51" s="9">
        <v>56.18</v>
      </c>
      <c r="I51" t="s">
        <v>399</v>
      </c>
      <c r="J51" t="s">
        <v>118</v>
      </c>
      <c r="L51" s="14"/>
    </row>
    <row r="52" spans="1:12" x14ac:dyDescent="0.35">
      <c r="A52" t="s">
        <v>119</v>
      </c>
      <c r="B52" s="6" t="s">
        <v>366</v>
      </c>
      <c r="C52" s="8">
        <v>5003620622</v>
      </c>
      <c r="D52" s="7">
        <v>44939</v>
      </c>
      <c r="E52">
        <v>5116654219</v>
      </c>
      <c r="F52" s="9">
        <v>58.72</v>
      </c>
      <c r="G52" s="10">
        <v>1</v>
      </c>
      <c r="H52" s="9">
        <v>58.72</v>
      </c>
      <c r="I52" t="s">
        <v>399</v>
      </c>
      <c r="J52" t="s">
        <v>120</v>
      </c>
      <c r="L52" s="14"/>
    </row>
    <row r="53" spans="1:12" x14ac:dyDescent="0.35">
      <c r="A53" t="s">
        <v>121</v>
      </c>
      <c r="B53" s="6" t="s">
        <v>366</v>
      </c>
      <c r="C53" s="8">
        <v>5003620622</v>
      </c>
      <c r="D53" s="7">
        <v>44939</v>
      </c>
      <c r="E53">
        <v>5116654219</v>
      </c>
      <c r="F53" s="9">
        <v>100.94</v>
      </c>
      <c r="G53" s="10">
        <v>2</v>
      </c>
      <c r="H53" s="9">
        <v>50.47</v>
      </c>
      <c r="I53" t="s">
        <v>399</v>
      </c>
      <c r="J53" t="s">
        <v>122</v>
      </c>
      <c r="L53" s="14"/>
    </row>
    <row r="54" spans="1:12" x14ac:dyDescent="0.35">
      <c r="A54" t="s">
        <v>123</v>
      </c>
      <c r="B54" s="6" t="s">
        <v>366</v>
      </c>
      <c r="C54" s="8">
        <v>5003620622</v>
      </c>
      <c r="D54" s="7">
        <v>44939</v>
      </c>
      <c r="E54">
        <v>5116654219</v>
      </c>
      <c r="F54" s="9">
        <v>338.48</v>
      </c>
      <c r="G54" s="10">
        <v>2</v>
      </c>
      <c r="H54" s="9">
        <v>169.24</v>
      </c>
      <c r="I54" t="s">
        <v>399</v>
      </c>
      <c r="J54" t="s">
        <v>124</v>
      </c>
      <c r="L54" s="14"/>
    </row>
    <row r="55" spans="1:12" x14ac:dyDescent="0.35">
      <c r="A55" t="s">
        <v>125</v>
      </c>
      <c r="B55" s="6" t="s">
        <v>366</v>
      </c>
      <c r="C55" s="8">
        <v>5003620622</v>
      </c>
      <c r="D55" s="7">
        <v>44939</v>
      </c>
      <c r="E55">
        <v>5116654219</v>
      </c>
      <c r="F55" s="9">
        <v>415.12</v>
      </c>
      <c r="G55" s="10">
        <v>2</v>
      </c>
      <c r="H55" s="9">
        <v>207.56</v>
      </c>
      <c r="I55" t="s">
        <v>399</v>
      </c>
      <c r="J55" t="s">
        <v>126</v>
      </c>
      <c r="L55" s="14"/>
    </row>
    <row r="56" spans="1:12" x14ac:dyDescent="0.35">
      <c r="A56" t="s">
        <v>127</v>
      </c>
      <c r="B56" s="6" t="s">
        <v>366</v>
      </c>
      <c r="C56" s="8">
        <v>5003620622</v>
      </c>
      <c r="D56" s="7">
        <v>44939</v>
      </c>
      <c r="E56">
        <v>5116654219</v>
      </c>
      <c r="F56" s="9">
        <v>23.98</v>
      </c>
      <c r="G56" s="10">
        <v>1</v>
      </c>
      <c r="H56" s="9">
        <v>23.98</v>
      </c>
      <c r="I56" t="s">
        <v>399</v>
      </c>
      <c r="J56" t="s">
        <v>128</v>
      </c>
      <c r="L56" s="14"/>
    </row>
    <row r="57" spans="1:12" x14ac:dyDescent="0.35">
      <c r="A57" t="s">
        <v>129</v>
      </c>
      <c r="B57" s="6" t="s">
        <v>366</v>
      </c>
      <c r="C57" s="8">
        <v>5003620622</v>
      </c>
      <c r="D57" s="7">
        <v>44939</v>
      </c>
      <c r="E57">
        <v>5116654219</v>
      </c>
      <c r="F57" s="9">
        <v>43.98</v>
      </c>
      <c r="G57" s="10">
        <v>1</v>
      </c>
      <c r="H57" s="9">
        <v>43.98</v>
      </c>
      <c r="I57" t="s">
        <v>399</v>
      </c>
      <c r="J57" t="s">
        <v>130</v>
      </c>
      <c r="L57" s="14"/>
    </row>
    <row r="58" spans="1:12" x14ac:dyDescent="0.35">
      <c r="A58" t="s">
        <v>131</v>
      </c>
      <c r="B58" s="6" t="s">
        <v>366</v>
      </c>
      <c r="C58" s="8">
        <v>5003620622</v>
      </c>
      <c r="D58" s="7">
        <v>44939</v>
      </c>
      <c r="E58">
        <v>5116654219</v>
      </c>
      <c r="F58" s="9">
        <v>28.28</v>
      </c>
      <c r="G58" s="10">
        <v>1</v>
      </c>
      <c r="H58" s="9">
        <v>28.28</v>
      </c>
      <c r="I58" t="s">
        <v>399</v>
      </c>
      <c r="J58" t="s">
        <v>132</v>
      </c>
      <c r="L58" s="14"/>
    </row>
    <row r="59" spans="1:12" x14ac:dyDescent="0.35">
      <c r="A59" t="s">
        <v>133</v>
      </c>
      <c r="B59" s="6" t="s">
        <v>366</v>
      </c>
      <c r="C59" s="8">
        <v>5003620622</v>
      </c>
      <c r="D59" s="7">
        <v>44939</v>
      </c>
      <c r="E59">
        <v>5116654219</v>
      </c>
      <c r="F59" s="9">
        <v>156.9</v>
      </c>
      <c r="G59" s="10">
        <v>2</v>
      </c>
      <c r="H59" s="9">
        <v>78.45</v>
      </c>
      <c r="I59" t="s">
        <v>399</v>
      </c>
      <c r="J59" t="s">
        <v>116</v>
      </c>
      <c r="L59" s="14"/>
    </row>
    <row r="60" spans="1:12" x14ac:dyDescent="0.35">
      <c r="A60" t="s">
        <v>134</v>
      </c>
      <c r="B60" s="6" t="s">
        <v>366</v>
      </c>
      <c r="C60" s="8">
        <v>5003620622</v>
      </c>
      <c r="D60" s="7">
        <v>44939</v>
      </c>
      <c r="E60">
        <v>5116654219</v>
      </c>
      <c r="F60" s="9">
        <v>613.65</v>
      </c>
      <c r="G60" s="10">
        <v>3</v>
      </c>
      <c r="H60" s="9">
        <v>204.54999999999998</v>
      </c>
      <c r="I60" t="s">
        <v>399</v>
      </c>
      <c r="J60" t="s">
        <v>114</v>
      </c>
      <c r="L60" s="14"/>
    </row>
    <row r="61" spans="1:12" x14ac:dyDescent="0.35">
      <c r="A61" t="s">
        <v>135</v>
      </c>
      <c r="B61" s="6" t="s">
        <v>366</v>
      </c>
      <c r="C61" s="8">
        <v>5003620622</v>
      </c>
      <c r="D61" s="7">
        <v>44939</v>
      </c>
      <c r="E61">
        <v>5116654219</v>
      </c>
      <c r="F61" s="9">
        <v>93.4</v>
      </c>
      <c r="G61" s="10">
        <v>1</v>
      </c>
      <c r="H61" s="9">
        <v>93.4</v>
      </c>
      <c r="I61" t="s">
        <v>399</v>
      </c>
      <c r="J61" t="s">
        <v>45</v>
      </c>
      <c r="L61" s="14"/>
    </row>
    <row r="62" spans="1:12" x14ac:dyDescent="0.35">
      <c r="A62" t="s">
        <v>136</v>
      </c>
      <c r="B62" s="6" t="s">
        <v>366</v>
      </c>
      <c r="C62" s="8">
        <v>5003620622</v>
      </c>
      <c r="D62" s="7">
        <v>44939</v>
      </c>
      <c r="E62">
        <v>5116654219</v>
      </c>
      <c r="F62" s="9">
        <v>24.72</v>
      </c>
      <c r="G62" s="10">
        <v>2</v>
      </c>
      <c r="H62" s="9">
        <v>12.36</v>
      </c>
      <c r="I62" t="s">
        <v>399</v>
      </c>
      <c r="J62" t="s">
        <v>137</v>
      </c>
      <c r="L62" s="14"/>
    </row>
    <row r="63" spans="1:12" x14ac:dyDescent="0.35">
      <c r="A63" t="s">
        <v>138</v>
      </c>
      <c r="B63" s="6" t="s">
        <v>366</v>
      </c>
      <c r="C63" s="8">
        <v>5003620622</v>
      </c>
      <c r="D63" s="7">
        <v>44939</v>
      </c>
      <c r="E63">
        <v>5116654219</v>
      </c>
      <c r="F63" s="9">
        <v>5.48</v>
      </c>
      <c r="G63" s="10">
        <v>1</v>
      </c>
      <c r="H63" s="9">
        <v>5.48</v>
      </c>
      <c r="I63" t="s">
        <v>399</v>
      </c>
      <c r="J63" t="s">
        <v>139</v>
      </c>
      <c r="L63" s="14"/>
    </row>
    <row r="64" spans="1:12" x14ac:dyDescent="0.35">
      <c r="A64" t="s">
        <v>140</v>
      </c>
      <c r="B64" s="6" t="s">
        <v>366</v>
      </c>
      <c r="C64" s="8">
        <v>5003620622</v>
      </c>
      <c r="D64" s="7">
        <v>44939</v>
      </c>
      <c r="E64">
        <v>5116654219</v>
      </c>
      <c r="F64" s="9">
        <v>23.48</v>
      </c>
      <c r="G64" s="10">
        <v>2</v>
      </c>
      <c r="H64" s="9">
        <v>11.74</v>
      </c>
      <c r="I64" t="s">
        <v>399</v>
      </c>
      <c r="J64" t="s">
        <v>141</v>
      </c>
      <c r="L64" s="14"/>
    </row>
    <row r="65" spans="1:12" x14ac:dyDescent="0.35">
      <c r="A65" t="s">
        <v>142</v>
      </c>
      <c r="B65" s="6" t="s">
        <v>366</v>
      </c>
      <c r="C65" s="8">
        <v>5003620622</v>
      </c>
      <c r="D65" s="7">
        <v>44939</v>
      </c>
      <c r="E65">
        <v>5116654219</v>
      </c>
      <c r="F65" s="9">
        <v>4.59</v>
      </c>
      <c r="G65" s="10">
        <v>1</v>
      </c>
      <c r="H65" s="9">
        <v>4.59</v>
      </c>
      <c r="I65" t="s">
        <v>399</v>
      </c>
      <c r="J65" t="s">
        <v>143</v>
      </c>
      <c r="L65" s="14"/>
    </row>
    <row r="66" spans="1:12" x14ac:dyDescent="0.35">
      <c r="A66" t="s">
        <v>144</v>
      </c>
      <c r="B66" s="6" t="s">
        <v>366</v>
      </c>
      <c r="C66" s="8">
        <v>5003620622</v>
      </c>
      <c r="D66" s="7">
        <v>44939</v>
      </c>
      <c r="E66">
        <v>5116654219</v>
      </c>
      <c r="F66" s="9">
        <v>11.01</v>
      </c>
      <c r="G66" s="10">
        <v>1</v>
      </c>
      <c r="H66" s="9">
        <v>11.01</v>
      </c>
      <c r="I66" t="s">
        <v>399</v>
      </c>
      <c r="J66" t="s">
        <v>145</v>
      </c>
      <c r="L66" s="14"/>
    </row>
    <row r="67" spans="1:12" x14ac:dyDescent="0.35">
      <c r="A67" t="s">
        <v>146</v>
      </c>
      <c r="B67" s="6" t="s">
        <v>366</v>
      </c>
      <c r="C67" s="8">
        <v>5003620622</v>
      </c>
      <c r="D67" s="7">
        <v>44939</v>
      </c>
      <c r="E67">
        <v>5116654219</v>
      </c>
      <c r="F67" s="9">
        <v>819.66</v>
      </c>
      <c r="G67" s="10">
        <v>3</v>
      </c>
      <c r="H67" s="9">
        <v>273.21999999999997</v>
      </c>
      <c r="I67" t="s">
        <v>399</v>
      </c>
      <c r="J67" t="s">
        <v>147</v>
      </c>
      <c r="L67" s="14"/>
    </row>
    <row r="68" spans="1:12" x14ac:dyDescent="0.35">
      <c r="A68" t="s">
        <v>148</v>
      </c>
      <c r="B68" s="6" t="s">
        <v>366</v>
      </c>
      <c r="C68" s="8">
        <v>5003620622</v>
      </c>
      <c r="D68" s="7">
        <v>44939</v>
      </c>
      <c r="E68">
        <v>5116654219</v>
      </c>
      <c r="F68" s="9">
        <v>40.369999999999997</v>
      </c>
      <c r="G68" s="10">
        <v>1</v>
      </c>
      <c r="H68" s="9">
        <v>40.369999999999997</v>
      </c>
      <c r="I68" t="s">
        <v>399</v>
      </c>
      <c r="J68" t="s">
        <v>149</v>
      </c>
      <c r="L68" s="14"/>
    </row>
    <row r="69" spans="1:12" x14ac:dyDescent="0.35">
      <c r="A69" t="s">
        <v>150</v>
      </c>
      <c r="B69" s="6" t="s">
        <v>366</v>
      </c>
      <c r="C69" s="8">
        <v>5003620622</v>
      </c>
      <c r="D69" s="7">
        <v>44939</v>
      </c>
      <c r="E69">
        <v>5116654219</v>
      </c>
      <c r="F69" s="9">
        <v>202.8</v>
      </c>
      <c r="G69" s="10">
        <v>5</v>
      </c>
      <c r="H69" s="9">
        <v>40.56</v>
      </c>
      <c r="I69" t="s">
        <v>399</v>
      </c>
      <c r="J69" t="s">
        <v>151</v>
      </c>
      <c r="L69" s="14"/>
    </row>
    <row r="70" spans="1:12" x14ac:dyDescent="0.35">
      <c r="A70" t="s">
        <v>152</v>
      </c>
      <c r="B70" s="6" t="s">
        <v>366</v>
      </c>
      <c r="C70" s="8">
        <v>5003620622</v>
      </c>
      <c r="D70" s="7">
        <v>44939</v>
      </c>
      <c r="E70">
        <v>5116654219</v>
      </c>
      <c r="F70" s="9">
        <v>595.66</v>
      </c>
      <c r="G70" s="10">
        <v>13</v>
      </c>
      <c r="H70" s="9">
        <v>45.82</v>
      </c>
      <c r="I70" t="s">
        <v>399</v>
      </c>
      <c r="J70" t="s">
        <v>149</v>
      </c>
      <c r="L70" s="14"/>
    </row>
    <row r="71" spans="1:12" x14ac:dyDescent="0.35">
      <c r="A71" t="s">
        <v>153</v>
      </c>
      <c r="B71" s="6" t="s">
        <v>369</v>
      </c>
      <c r="C71" s="8">
        <v>5003391662</v>
      </c>
      <c r="D71" s="7">
        <v>44938</v>
      </c>
      <c r="E71">
        <v>5116652061</v>
      </c>
      <c r="F71" s="9">
        <v>1947.3</v>
      </c>
      <c r="G71" s="10">
        <v>30</v>
      </c>
      <c r="H71" s="9">
        <v>64.91</v>
      </c>
      <c r="I71" t="s">
        <v>399</v>
      </c>
      <c r="J71" t="s">
        <v>155</v>
      </c>
      <c r="L71" s="14"/>
    </row>
    <row r="72" spans="1:12" hidden="1" x14ac:dyDescent="0.35">
      <c r="A72" t="s">
        <v>156</v>
      </c>
      <c r="B72" s="6" t="s">
        <v>370</v>
      </c>
      <c r="C72" s="8" t="s">
        <v>157</v>
      </c>
      <c r="D72" s="7">
        <v>44939</v>
      </c>
      <c r="E72">
        <v>5116654202</v>
      </c>
      <c r="F72" s="9">
        <v>1698.65</v>
      </c>
      <c r="G72" s="10">
        <v>5</v>
      </c>
      <c r="H72" s="9">
        <v>339.73</v>
      </c>
      <c r="I72" t="s">
        <v>399</v>
      </c>
      <c r="J72" t="s">
        <v>158</v>
      </c>
      <c r="L72" s="14"/>
    </row>
    <row r="73" spans="1:12" hidden="1" x14ac:dyDescent="0.35">
      <c r="A73" t="s">
        <v>159</v>
      </c>
      <c r="B73" s="6" t="s">
        <v>370</v>
      </c>
      <c r="C73" s="8" t="s">
        <v>157</v>
      </c>
      <c r="D73" s="7">
        <v>44939</v>
      </c>
      <c r="E73">
        <v>5116654202</v>
      </c>
      <c r="F73" s="9">
        <v>5485.76</v>
      </c>
      <c r="G73" s="10">
        <v>8</v>
      </c>
      <c r="H73" s="9">
        <v>685.72</v>
      </c>
      <c r="I73" t="s">
        <v>399</v>
      </c>
      <c r="J73" t="s">
        <v>160</v>
      </c>
      <c r="L73" s="14"/>
    </row>
    <row r="74" spans="1:12" hidden="1" x14ac:dyDescent="0.35">
      <c r="A74" t="s">
        <v>161</v>
      </c>
      <c r="B74" s="6" t="s">
        <v>370</v>
      </c>
      <c r="C74" s="8" t="s">
        <v>157</v>
      </c>
      <c r="D74" s="7">
        <v>44939</v>
      </c>
      <c r="E74">
        <v>5116654202</v>
      </c>
      <c r="F74" s="9">
        <v>1127.1500000000001</v>
      </c>
      <c r="G74" s="10">
        <v>1</v>
      </c>
      <c r="H74" s="9">
        <v>1127.1500000000001</v>
      </c>
      <c r="I74" t="s">
        <v>399</v>
      </c>
      <c r="J74" t="s">
        <v>162</v>
      </c>
      <c r="L74" s="14"/>
    </row>
    <row r="75" spans="1:12" hidden="1" x14ac:dyDescent="0.35">
      <c r="A75" t="s">
        <v>163</v>
      </c>
      <c r="B75" s="6" t="s">
        <v>370</v>
      </c>
      <c r="C75" s="8" t="s">
        <v>157</v>
      </c>
      <c r="D75" s="7">
        <v>44939</v>
      </c>
      <c r="E75">
        <v>5116654202</v>
      </c>
      <c r="F75" s="9">
        <v>1043.19</v>
      </c>
      <c r="G75" s="10">
        <v>1</v>
      </c>
      <c r="H75" s="9">
        <v>1043.19</v>
      </c>
      <c r="I75" t="s">
        <v>399</v>
      </c>
      <c r="J75" t="s">
        <v>164</v>
      </c>
      <c r="L75" s="14"/>
    </row>
    <row r="76" spans="1:12" hidden="1" x14ac:dyDescent="0.35">
      <c r="A76" t="s">
        <v>165</v>
      </c>
      <c r="B76" s="6" t="s">
        <v>370</v>
      </c>
      <c r="C76" s="8" t="s">
        <v>157</v>
      </c>
      <c r="D76" s="7">
        <v>44939</v>
      </c>
      <c r="E76">
        <v>5116654202</v>
      </c>
      <c r="F76" s="9">
        <v>16457.28</v>
      </c>
      <c r="G76" s="10">
        <v>24</v>
      </c>
      <c r="H76" s="9">
        <v>685.71999999999991</v>
      </c>
      <c r="I76" t="s">
        <v>399</v>
      </c>
      <c r="J76" t="s">
        <v>160</v>
      </c>
      <c r="L76" s="14"/>
    </row>
    <row r="77" spans="1:12" hidden="1" x14ac:dyDescent="0.35">
      <c r="A77" t="s">
        <v>166</v>
      </c>
      <c r="B77" s="6" t="s">
        <v>370</v>
      </c>
      <c r="C77" s="8" t="s">
        <v>157</v>
      </c>
      <c r="D77" s="7">
        <v>44939</v>
      </c>
      <c r="E77">
        <v>5116654202</v>
      </c>
      <c r="F77" s="9">
        <v>13525.8</v>
      </c>
      <c r="G77" s="10">
        <v>12</v>
      </c>
      <c r="H77" s="9">
        <v>1127.1499999999999</v>
      </c>
      <c r="I77" t="s">
        <v>399</v>
      </c>
      <c r="J77" t="s">
        <v>162</v>
      </c>
      <c r="L77" s="14"/>
    </row>
    <row r="78" spans="1:12" x14ac:dyDescent="0.35">
      <c r="A78" t="s">
        <v>167</v>
      </c>
      <c r="B78" s="6" t="s">
        <v>371</v>
      </c>
      <c r="C78" s="8">
        <v>2351663396</v>
      </c>
      <c r="D78" s="7">
        <v>44939</v>
      </c>
      <c r="E78">
        <v>5116655653</v>
      </c>
      <c r="F78" s="9">
        <v>204.24</v>
      </c>
      <c r="G78" s="10">
        <v>12</v>
      </c>
      <c r="H78" s="9">
        <v>17.02</v>
      </c>
      <c r="I78" t="s">
        <v>399</v>
      </c>
      <c r="J78" t="s">
        <v>169</v>
      </c>
      <c r="L78" s="14"/>
    </row>
    <row r="79" spans="1:12" x14ac:dyDescent="0.35">
      <c r="A79" t="s">
        <v>170</v>
      </c>
      <c r="B79" s="6" t="s">
        <v>372</v>
      </c>
      <c r="C79" s="8">
        <v>2351668234</v>
      </c>
      <c r="D79" s="7">
        <v>44939</v>
      </c>
      <c r="E79">
        <v>5116655653</v>
      </c>
      <c r="F79" s="9">
        <v>2603.5</v>
      </c>
      <c r="G79" s="10">
        <v>10</v>
      </c>
      <c r="H79" s="9">
        <v>260.35000000000002</v>
      </c>
      <c r="I79" t="s">
        <v>399</v>
      </c>
      <c r="J79" t="s">
        <v>95</v>
      </c>
      <c r="L79" s="14"/>
    </row>
    <row r="80" spans="1:12" x14ac:dyDescent="0.35">
      <c r="A80" t="s">
        <v>172</v>
      </c>
      <c r="B80" s="6" t="s">
        <v>371</v>
      </c>
      <c r="C80" s="8">
        <v>2351675118</v>
      </c>
      <c r="D80" s="7">
        <v>44939</v>
      </c>
      <c r="E80">
        <v>5116655653</v>
      </c>
      <c r="F80" s="9">
        <v>302.5</v>
      </c>
      <c r="G80" s="10">
        <v>10</v>
      </c>
      <c r="H80" s="9">
        <v>30.25</v>
      </c>
      <c r="I80" t="s">
        <v>399</v>
      </c>
      <c r="J80" t="s">
        <v>173</v>
      </c>
      <c r="L80" s="14"/>
    </row>
    <row r="81" spans="1:12" hidden="1" x14ac:dyDescent="0.35">
      <c r="A81" t="s">
        <v>178</v>
      </c>
      <c r="B81" s="6" t="s">
        <v>373</v>
      </c>
      <c r="C81" s="8">
        <v>5003437452</v>
      </c>
      <c r="D81" s="7">
        <v>44942</v>
      </c>
      <c r="E81">
        <v>5116660347</v>
      </c>
      <c r="F81" s="9">
        <v>112.4</v>
      </c>
      <c r="G81" s="10">
        <v>1</v>
      </c>
      <c r="H81" s="9">
        <v>112.4</v>
      </c>
      <c r="I81" s="18" t="s">
        <v>404</v>
      </c>
      <c r="L81" s="14"/>
    </row>
    <row r="82" spans="1:12" x14ac:dyDescent="0.35">
      <c r="A82" t="s">
        <v>180</v>
      </c>
      <c r="B82" s="6" t="s">
        <v>374</v>
      </c>
      <c r="C82" s="8">
        <v>5003611213</v>
      </c>
      <c r="D82" s="7">
        <v>44942</v>
      </c>
      <c r="E82">
        <v>5116660347</v>
      </c>
      <c r="F82" s="9">
        <v>13881.37</v>
      </c>
      <c r="G82" s="10">
        <v>41</v>
      </c>
      <c r="H82" s="9">
        <v>338.57</v>
      </c>
      <c r="I82" t="s">
        <v>399</v>
      </c>
      <c r="J82" t="s">
        <v>182</v>
      </c>
      <c r="L82" s="14"/>
    </row>
    <row r="83" spans="1:12" x14ac:dyDescent="0.35">
      <c r="A83" t="s">
        <v>183</v>
      </c>
      <c r="B83" s="6" t="s">
        <v>374</v>
      </c>
      <c r="C83" s="8">
        <v>5003611224</v>
      </c>
      <c r="D83" s="7">
        <v>44942</v>
      </c>
      <c r="E83">
        <v>5116660347</v>
      </c>
      <c r="F83" s="9">
        <v>4778.3999999999996</v>
      </c>
      <c r="G83" s="10">
        <v>48</v>
      </c>
      <c r="H83" s="9">
        <v>99.55</v>
      </c>
      <c r="I83" t="s">
        <v>399</v>
      </c>
      <c r="J83" t="s">
        <v>184</v>
      </c>
      <c r="L83" s="14"/>
    </row>
    <row r="84" spans="1:12" x14ac:dyDescent="0.35">
      <c r="A84" t="s">
        <v>185</v>
      </c>
      <c r="B84" s="6" t="s">
        <v>374</v>
      </c>
      <c r="C84" s="8">
        <v>5003614304</v>
      </c>
      <c r="D84" s="7">
        <v>44942</v>
      </c>
      <c r="E84">
        <v>5116660347</v>
      </c>
      <c r="F84" s="9">
        <v>5742.36</v>
      </c>
      <c r="G84" s="10">
        <v>18</v>
      </c>
      <c r="H84" s="9">
        <v>319.02</v>
      </c>
      <c r="I84" t="s">
        <v>399</v>
      </c>
      <c r="J84" t="s">
        <v>186</v>
      </c>
      <c r="L84" s="14"/>
    </row>
    <row r="85" spans="1:12" x14ac:dyDescent="0.35">
      <c r="A85" t="s">
        <v>187</v>
      </c>
      <c r="B85" s="6" t="s">
        <v>375</v>
      </c>
      <c r="C85" s="8">
        <v>5003618561</v>
      </c>
      <c r="D85" s="7">
        <v>44942</v>
      </c>
      <c r="E85">
        <v>5116660347</v>
      </c>
      <c r="F85" s="9">
        <v>1787.1</v>
      </c>
      <c r="G85" s="10">
        <v>21</v>
      </c>
      <c r="H85" s="9">
        <v>85.1</v>
      </c>
      <c r="I85" t="s">
        <v>399</v>
      </c>
      <c r="J85" t="s">
        <v>189</v>
      </c>
      <c r="L85" s="14"/>
    </row>
    <row r="86" spans="1:12" x14ac:dyDescent="0.35">
      <c r="A86" t="s">
        <v>190</v>
      </c>
      <c r="B86" s="6" t="s">
        <v>375</v>
      </c>
      <c r="C86" s="8">
        <v>5003630470</v>
      </c>
      <c r="D86" s="7">
        <v>44942</v>
      </c>
      <c r="E86">
        <v>5116660347</v>
      </c>
      <c r="F86" s="9">
        <v>408.72</v>
      </c>
      <c r="G86" s="10">
        <v>4</v>
      </c>
      <c r="H86" s="9">
        <v>102.18</v>
      </c>
      <c r="I86" t="s">
        <v>399</v>
      </c>
      <c r="J86" t="s">
        <v>191</v>
      </c>
      <c r="L86" s="14"/>
    </row>
    <row r="87" spans="1:12" x14ac:dyDescent="0.35">
      <c r="A87" t="s">
        <v>192</v>
      </c>
      <c r="B87" s="6" t="s">
        <v>374</v>
      </c>
      <c r="C87" s="8">
        <v>5003640603</v>
      </c>
      <c r="D87" s="7">
        <v>44942</v>
      </c>
      <c r="E87">
        <v>5116660347</v>
      </c>
      <c r="F87" s="9">
        <v>13176.64</v>
      </c>
      <c r="G87" s="10">
        <v>32</v>
      </c>
      <c r="H87" s="9">
        <v>411.77</v>
      </c>
      <c r="I87" t="s">
        <v>399</v>
      </c>
      <c r="J87" t="s">
        <v>193</v>
      </c>
      <c r="L87" s="14"/>
    </row>
    <row r="88" spans="1:12" x14ac:dyDescent="0.35">
      <c r="A88" t="s">
        <v>194</v>
      </c>
      <c r="B88" s="6" t="s">
        <v>376</v>
      </c>
      <c r="C88" s="8">
        <v>5003642177</v>
      </c>
      <c r="D88" s="7">
        <v>44941</v>
      </c>
      <c r="E88">
        <v>5116660347</v>
      </c>
      <c r="F88" s="9">
        <v>1139.2</v>
      </c>
      <c r="G88" s="10">
        <v>10</v>
      </c>
      <c r="H88" s="9">
        <v>113.92</v>
      </c>
      <c r="I88" t="s">
        <v>399</v>
      </c>
      <c r="J88" t="s">
        <v>196</v>
      </c>
      <c r="L88" s="14"/>
    </row>
    <row r="89" spans="1:12" x14ac:dyDescent="0.35">
      <c r="A89" t="s">
        <v>197</v>
      </c>
      <c r="B89" s="6" t="s">
        <v>377</v>
      </c>
      <c r="C89" s="8">
        <v>5003618674</v>
      </c>
      <c r="D89" s="7">
        <v>44939</v>
      </c>
      <c r="E89">
        <v>5116655369</v>
      </c>
      <c r="F89" s="9">
        <v>315.44</v>
      </c>
      <c r="G89" s="10">
        <v>4</v>
      </c>
      <c r="H89" s="9">
        <v>78.86</v>
      </c>
      <c r="I89" t="s">
        <v>399</v>
      </c>
      <c r="J89" t="s">
        <v>199</v>
      </c>
      <c r="L89" s="14"/>
    </row>
    <row r="90" spans="1:12" x14ac:dyDescent="0.35">
      <c r="A90" t="s">
        <v>200</v>
      </c>
      <c r="B90" s="6" t="s">
        <v>378</v>
      </c>
      <c r="C90" s="8">
        <v>5003587373</v>
      </c>
      <c r="D90" s="7">
        <v>44939</v>
      </c>
      <c r="E90">
        <v>5116654978</v>
      </c>
      <c r="F90" s="9">
        <v>27.5</v>
      </c>
      <c r="G90" s="10">
        <v>2</v>
      </c>
      <c r="H90" s="9">
        <v>13.75</v>
      </c>
      <c r="I90" t="s">
        <v>399</v>
      </c>
      <c r="J90" t="s">
        <v>202</v>
      </c>
      <c r="L90" s="14"/>
    </row>
    <row r="91" spans="1:12" hidden="1" x14ac:dyDescent="0.35">
      <c r="A91" t="s">
        <v>203</v>
      </c>
      <c r="B91" s="6" t="s">
        <v>379</v>
      </c>
      <c r="C91" s="8">
        <v>5003497824</v>
      </c>
      <c r="D91" s="7">
        <v>44939</v>
      </c>
      <c r="E91">
        <v>5116655380</v>
      </c>
      <c r="F91" s="9">
        <v>295</v>
      </c>
      <c r="G91" s="10">
        <v>5</v>
      </c>
      <c r="H91" s="9">
        <v>59</v>
      </c>
      <c r="I91" t="s">
        <v>399</v>
      </c>
      <c r="J91" t="s">
        <v>205</v>
      </c>
      <c r="L91" s="14"/>
    </row>
    <row r="92" spans="1:12" x14ac:dyDescent="0.35">
      <c r="A92" t="s">
        <v>206</v>
      </c>
      <c r="B92" s="6" t="s">
        <v>380</v>
      </c>
      <c r="C92" s="8">
        <v>5003642272</v>
      </c>
      <c r="D92" s="7">
        <v>44939</v>
      </c>
      <c r="E92">
        <v>5116655380</v>
      </c>
      <c r="F92" s="9">
        <v>497.75</v>
      </c>
      <c r="G92" s="10">
        <v>5</v>
      </c>
      <c r="H92" s="9">
        <v>99.55</v>
      </c>
      <c r="I92" t="s">
        <v>399</v>
      </c>
      <c r="J92" t="s">
        <v>184</v>
      </c>
      <c r="L92" s="14"/>
    </row>
    <row r="93" spans="1:12" x14ac:dyDescent="0.35">
      <c r="A93" t="s">
        <v>208</v>
      </c>
      <c r="B93" s="6" t="s">
        <v>381</v>
      </c>
      <c r="C93" s="8">
        <v>5003400860</v>
      </c>
      <c r="D93" s="7">
        <v>44943</v>
      </c>
      <c r="E93">
        <v>5116664073</v>
      </c>
      <c r="F93" s="9">
        <v>6391.14</v>
      </c>
      <c r="G93" s="10">
        <v>14</v>
      </c>
      <c r="H93" s="9">
        <v>456.51000000000005</v>
      </c>
      <c r="I93" t="s">
        <v>399</v>
      </c>
      <c r="J93" t="s">
        <v>210</v>
      </c>
      <c r="L93" s="14"/>
    </row>
    <row r="94" spans="1:12" x14ac:dyDescent="0.35">
      <c r="A94" t="s">
        <v>211</v>
      </c>
      <c r="B94" s="6" t="s">
        <v>354</v>
      </c>
      <c r="C94" s="8">
        <v>5003605724</v>
      </c>
      <c r="D94" s="7">
        <v>44943</v>
      </c>
      <c r="E94">
        <v>5116664183</v>
      </c>
      <c r="F94" s="9">
        <v>117.9</v>
      </c>
      <c r="G94" s="10">
        <v>30</v>
      </c>
      <c r="H94" s="9">
        <v>3.93</v>
      </c>
      <c r="I94" t="s">
        <v>399</v>
      </c>
      <c r="J94" t="s">
        <v>212</v>
      </c>
      <c r="L94" s="14"/>
    </row>
    <row r="95" spans="1:12" x14ac:dyDescent="0.35">
      <c r="A95" t="s">
        <v>213</v>
      </c>
      <c r="B95" s="6" t="s">
        <v>382</v>
      </c>
      <c r="C95" s="8">
        <v>5003614416</v>
      </c>
      <c r="D95" s="7">
        <v>44943</v>
      </c>
      <c r="E95">
        <v>5116664185</v>
      </c>
      <c r="F95" s="9">
        <v>25628.400000000001</v>
      </c>
      <c r="G95" s="10">
        <v>45</v>
      </c>
      <c r="H95" s="9">
        <v>569.52</v>
      </c>
      <c r="I95" t="s">
        <v>399</v>
      </c>
      <c r="J95" t="s">
        <v>61</v>
      </c>
      <c r="L95" s="14"/>
    </row>
    <row r="96" spans="1:12" x14ac:dyDescent="0.35">
      <c r="A96" t="s">
        <v>215</v>
      </c>
      <c r="B96" s="6" t="s">
        <v>383</v>
      </c>
      <c r="C96" s="8">
        <v>5003580407</v>
      </c>
      <c r="D96" s="7">
        <v>44942</v>
      </c>
      <c r="E96">
        <v>5116664192</v>
      </c>
      <c r="F96" s="9">
        <v>16.45</v>
      </c>
      <c r="G96" s="10">
        <v>1</v>
      </c>
      <c r="H96" s="9">
        <v>16.45</v>
      </c>
      <c r="I96" t="s">
        <v>399</v>
      </c>
      <c r="J96" t="s">
        <v>217</v>
      </c>
      <c r="L96" s="14"/>
    </row>
    <row r="97" spans="1:12" x14ac:dyDescent="0.35">
      <c r="A97" t="s">
        <v>218</v>
      </c>
      <c r="B97" s="6" t="s">
        <v>384</v>
      </c>
      <c r="C97" s="8">
        <v>5003607370</v>
      </c>
      <c r="D97" s="7">
        <v>44942</v>
      </c>
      <c r="E97">
        <v>5116664192</v>
      </c>
      <c r="F97" s="9">
        <v>6242.56</v>
      </c>
      <c r="G97" s="10">
        <v>32</v>
      </c>
      <c r="H97" s="9">
        <v>195.08</v>
      </c>
      <c r="I97" t="s">
        <v>399</v>
      </c>
      <c r="J97" t="s">
        <v>26</v>
      </c>
      <c r="L97" s="14"/>
    </row>
    <row r="98" spans="1:12" x14ac:dyDescent="0.35">
      <c r="A98" t="s">
        <v>220</v>
      </c>
      <c r="B98" s="6" t="s">
        <v>384</v>
      </c>
      <c r="C98" s="8">
        <v>5003607370</v>
      </c>
      <c r="D98" s="7">
        <v>44942</v>
      </c>
      <c r="E98">
        <v>5116664192</v>
      </c>
      <c r="F98" s="9">
        <v>2253</v>
      </c>
      <c r="G98" s="10">
        <v>12</v>
      </c>
      <c r="H98" s="9">
        <v>187.75</v>
      </c>
      <c r="I98" t="s">
        <v>399</v>
      </c>
      <c r="J98" t="s">
        <v>221</v>
      </c>
      <c r="L98" s="14"/>
    </row>
    <row r="99" spans="1:12" x14ac:dyDescent="0.35">
      <c r="A99" t="s">
        <v>222</v>
      </c>
      <c r="B99" s="6" t="s">
        <v>384</v>
      </c>
      <c r="C99" s="8">
        <v>5003607370</v>
      </c>
      <c r="D99" s="7">
        <v>44942</v>
      </c>
      <c r="E99">
        <v>5116664192</v>
      </c>
      <c r="F99" s="9">
        <v>1135.8399999999999</v>
      </c>
      <c r="G99" s="10">
        <v>16</v>
      </c>
      <c r="H99" s="9">
        <v>70.989999999999995</v>
      </c>
      <c r="I99" t="s">
        <v>399</v>
      </c>
      <c r="J99" t="s">
        <v>223</v>
      </c>
      <c r="L99" s="14"/>
    </row>
    <row r="100" spans="1:12" x14ac:dyDescent="0.35">
      <c r="A100" t="s">
        <v>224</v>
      </c>
      <c r="B100" s="6" t="s">
        <v>385</v>
      </c>
      <c r="C100" s="8">
        <v>5003611200</v>
      </c>
      <c r="D100" s="7">
        <v>44942</v>
      </c>
      <c r="E100">
        <v>5116664192</v>
      </c>
      <c r="F100" s="9">
        <v>20410.64</v>
      </c>
      <c r="G100" s="10">
        <v>8</v>
      </c>
      <c r="H100" s="9">
        <v>2551.33</v>
      </c>
      <c r="I100" t="s">
        <v>399</v>
      </c>
      <c r="J100" t="s">
        <v>58</v>
      </c>
      <c r="L100" s="14"/>
    </row>
    <row r="101" spans="1:12" x14ac:dyDescent="0.35">
      <c r="A101" t="s">
        <v>226</v>
      </c>
      <c r="B101" s="6" t="s">
        <v>386</v>
      </c>
      <c r="C101" s="8">
        <v>5003613224</v>
      </c>
      <c r="D101" s="7">
        <v>44942</v>
      </c>
      <c r="E101">
        <v>5116664192</v>
      </c>
      <c r="F101" s="9">
        <v>54.52</v>
      </c>
      <c r="G101" s="10">
        <v>4</v>
      </c>
      <c r="H101" s="9">
        <v>13.63</v>
      </c>
      <c r="I101" t="s">
        <v>399</v>
      </c>
      <c r="J101" t="s">
        <v>228</v>
      </c>
      <c r="L101" s="14"/>
    </row>
    <row r="102" spans="1:12" x14ac:dyDescent="0.35">
      <c r="A102" t="s">
        <v>229</v>
      </c>
      <c r="B102" s="6" t="s">
        <v>386</v>
      </c>
      <c r="C102" s="8">
        <v>5003614326</v>
      </c>
      <c r="D102" s="7">
        <v>44942</v>
      </c>
      <c r="E102">
        <v>5116664192</v>
      </c>
      <c r="F102" s="9">
        <v>5912.19</v>
      </c>
      <c r="G102" s="10">
        <v>9</v>
      </c>
      <c r="H102" s="9">
        <v>656.91</v>
      </c>
      <c r="I102" t="s">
        <v>399</v>
      </c>
      <c r="J102" t="s">
        <v>230</v>
      </c>
      <c r="L102" s="14"/>
    </row>
    <row r="103" spans="1:12" x14ac:dyDescent="0.35">
      <c r="A103" t="s">
        <v>231</v>
      </c>
      <c r="B103" s="6" t="s">
        <v>386</v>
      </c>
      <c r="C103" s="8">
        <v>5003614340</v>
      </c>
      <c r="D103" s="7">
        <v>44942</v>
      </c>
      <c r="E103">
        <v>5116664192</v>
      </c>
      <c r="F103" s="9">
        <v>13728.52</v>
      </c>
      <c r="G103" s="10">
        <v>34</v>
      </c>
      <c r="H103" s="9">
        <v>403.78000000000003</v>
      </c>
      <c r="I103" t="s">
        <v>399</v>
      </c>
      <c r="J103" t="s">
        <v>232</v>
      </c>
      <c r="L103" s="14"/>
    </row>
    <row r="104" spans="1:12" x14ac:dyDescent="0.35">
      <c r="A104" t="s">
        <v>233</v>
      </c>
      <c r="B104" s="6" t="s">
        <v>386</v>
      </c>
      <c r="C104" s="8">
        <v>5003614365</v>
      </c>
      <c r="D104" s="7">
        <v>44942</v>
      </c>
      <c r="E104">
        <v>5116664192</v>
      </c>
      <c r="F104" s="9">
        <v>5689.2</v>
      </c>
      <c r="G104" s="10">
        <v>30</v>
      </c>
      <c r="H104" s="9">
        <v>189.64</v>
      </c>
      <c r="I104" t="s">
        <v>399</v>
      </c>
      <c r="J104" t="s">
        <v>100</v>
      </c>
      <c r="L104" s="14"/>
    </row>
    <row r="105" spans="1:12" x14ac:dyDescent="0.35">
      <c r="A105" t="s">
        <v>234</v>
      </c>
      <c r="B105" s="6" t="s">
        <v>383</v>
      </c>
      <c r="C105" s="8">
        <v>5003615337</v>
      </c>
      <c r="D105" s="7">
        <v>44942</v>
      </c>
      <c r="E105">
        <v>5116664192</v>
      </c>
      <c r="F105" s="9">
        <v>111.6</v>
      </c>
      <c r="G105" s="10">
        <v>4</v>
      </c>
      <c r="H105" s="9">
        <v>27.9</v>
      </c>
      <c r="I105" t="s">
        <v>399</v>
      </c>
      <c r="J105" t="s">
        <v>128</v>
      </c>
      <c r="L105" s="14"/>
    </row>
    <row r="106" spans="1:12" x14ac:dyDescent="0.35">
      <c r="A106" t="s">
        <v>235</v>
      </c>
      <c r="B106" s="6" t="s">
        <v>383</v>
      </c>
      <c r="C106" s="8">
        <v>5003618561</v>
      </c>
      <c r="D106" s="7">
        <v>44942</v>
      </c>
      <c r="E106">
        <v>5116664192</v>
      </c>
      <c r="F106" s="9">
        <v>923.2</v>
      </c>
      <c r="G106" s="10">
        <v>10</v>
      </c>
      <c r="H106" s="9">
        <v>92.320000000000007</v>
      </c>
      <c r="I106" t="s">
        <v>399</v>
      </c>
      <c r="J106" t="s">
        <v>236</v>
      </c>
      <c r="L106" s="14"/>
    </row>
    <row r="107" spans="1:12" x14ac:dyDescent="0.35">
      <c r="A107" t="s">
        <v>237</v>
      </c>
      <c r="B107" s="6" t="s">
        <v>383</v>
      </c>
      <c r="C107" s="8">
        <v>5003618561</v>
      </c>
      <c r="D107" s="7">
        <v>44942</v>
      </c>
      <c r="E107">
        <v>5116664192</v>
      </c>
      <c r="F107" s="9">
        <v>461.6</v>
      </c>
      <c r="G107" s="10">
        <v>5</v>
      </c>
      <c r="H107" s="9">
        <v>92.320000000000007</v>
      </c>
      <c r="I107" t="s">
        <v>399</v>
      </c>
      <c r="J107" t="s">
        <v>236</v>
      </c>
      <c r="L107" s="14"/>
    </row>
    <row r="108" spans="1:12" x14ac:dyDescent="0.35">
      <c r="A108" t="s">
        <v>238</v>
      </c>
      <c r="B108" s="6" t="s">
        <v>386</v>
      </c>
      <c r="C108" s="8">
        <v>5003619217</v>
      </c>
      <c r="D108" s="7">
        <v>44942</v>
      </c>
      <c r="E108">
        <v>5116664192</v>
      </c>
      <c r="F108" s="9">
        <v>1970.73</v>
      </c>
      <c r="G108" s="10">
        <v>3</v>
      </c>
      <c r="H108" s="9">
        <v>656.91</v>
      </c>
      <c r="I108" t="s">
        <v>399</v>
      </c>
      <c r="J108" t="s">
        <v>230</v>
      </c>
      <c r="L108" s="14"/>
    </row>
    <row r="109" spans="1:12" x14ac:dyDescent="0.35">
      <c r="A109" t="s">
        <v>239</v>
      </c>
      <c r="B109" s="6" t="s">
        <v>386</v>
      </c>
      <c r="C109" s="8">
        <v>5003619256</v>
      </c>
      <c r="D109" s="7">
        <v>44942</v>
      </c>
      <c r="E109">
        <v>5116664192</v>
      </c>
      <c r="F109" s="9">
        <v>1995.64</v>
      </c>
      <c r="G109" s="10">
        <v>1</v>
      </c>
      <c r="H109" s="9">
        <v>1995.64</v>
      </c>
      <c r="I109" t="s">
        <v>399</v>
      </c>
      <c r="J109" t="s">
        <v>240</v>
      </c>
      <c r="L109" s="14"/>
    </row>
    <row r="110" spans="1:12" x14ac:dyDescent="0.35">
      <c r="A110" t="s">
        <v>241</v>
      </c>
      <c r="B110" s="6" t="s">
        <v>383</v>
      </c>
      <c r="C110" s="8">
        <v>5003627825</v>
      </c>
      <c r="D110" s="7">
        <v>44942</v>
      </c>
      <c r="E110">
        <v>5116664192</v>
      </c>
      <c r="F110" s="9">
        <v>4794.72</v>
      </c>
      <c r="G110" s="10">
        <v>48</v>
      </c>
      <c r="H110" s="9">
        <v>99.89</v>
      </c>
      <c r="I110" t="s">
        <v>399</v>
      </c>
      <c r="J110" t="s">
        <v>242</v>
      </c>
      <c r="L110" s="14"/>
    </row>
    <row r="111" spans="1:12" x14ac:dyDescent="0.35">
      <c r="A111" t="s">
        <v>255</v>
      </c>
      <c r="B111" s="6" t="s">
        <v>387</v>
      </c>
      <c r="C111" s="8">
        <v>5003554346</v>
      </c>
      <c r="D111" s="7">
        <v>44942</v>
      </c>
      <c r="E111">
        <v>5116664074</v>
      </c>
      <c r="F111" s="9">
        <v>46.54</v>
      </c>
      <c r="G111" s="10">
        <v>1</v>
      </c>
      <c r="H111" s="9">
        <v>46.54</v>
      </c>
      <c r="I111" t="s">
        <v>399</v>
      </c>
      <c r="J111" t="s">
        <v>257</v>
      </c>
      <c r="L111" s="14"/>
    </row>
    <row r="112" spans="1:12" x14ac:dyDescent="0.35">
      <c r="A112" t="s">
        <v>258</v>
      </c>
      <c r="B112" s="6" t="s">
        <v>387</v>
      </c>
      <c r="C112" s="8">
        <v>5003557853</v>
      </c>
      <c r="D112" s="7">
        <v>44942</v>
      </c>
      <c r="E112">
        <v>5116664075</v>
      </c>
      <c r="F112" s="9">
        <v>46.54</v>
      </c>
      <c r="G112" s="10">
        <v>1</v>
      </c>
      <c r="H112" s="9">
        <v>46.54</v>
      </c>
      <c r="I112" t="s">
        <v>399</v>
      </c>
      <c r="J112" t="s">
        <v>257</v>
      </c>
      <c r="L112" s="14"/>
    </row>
    <row r="113" spans="1:12" x14ac:dyDescent="0.35">
      <c r="A113" t="s">
        <v>259</v>
      </c>
      <c r="B113" s="6" t="s">
        <v>387</v>
      </c>
      <c r="C113" s="8">
        <v>5003560802</v>
      </c>
      <c r="D113" s="7">
        <v>44942</v>
      </c>
      <c r="E113">
        <v>5116664076</v>
      </c>
      <c r="F113" s="9">
        <v>46.54</v>
      </c>
      <c r="G113" s="10">
        <v>1</v>
      </c>
      <c r="H113" s="9">
        <v>46.54</v>
      </c>
      <c r="I113" t="s">
        <v>399</v>
      </c>
      <c r="J113" t="s">
        <v>257</v>
      </c>
      <c r="L113" s="14"/>
    </row>
    <row r="114" spans="1:12" x14ac:dyDescent="0.35">
      <c r="A114" t="s">
        <v>260</v>
      </c>
      <c r="B114" s="6" t="s">
        <v>384</v>
      </c>
      <c r="C114" s="8">
        <v>5003584040</v>
      </c>
      <c r="D114" s="7">
        <v>44942</v>
      </c>
      <c r="E114">
        <v>5116664077</v>
      </c>
      <c r="F114" s="9">
        <v>418.86</v>
      </c>
      <c r="G114" s="10">
        <v>9</v>
      </c>
      <c r="H114" s="9">
        <v>46.54</v>
      </c>
      <c r="I114" t="s">
        <v>399</v>
      </c>
      <c r="J114" t="s">
        <v>257</v>
      </c>
      <c r="L114" s="14"/>
    </row>
    <row r="115" spans="1:12" x14ac:dyDescent="0.35">
      <c r="A115" t="s">
        <v>261</v>
      </c>
      <c r="B115" s="6" t="s">
        <v>384</v>
      </c>
      <c r="C115" s="8">
        <v>5003585682</v>
      </c>
      <c r="D115" s="7">
        <v>44942</v>
      </c>
      <c r="E115">
        <v>5116664078</v>
      </c>
      <c r="F115" s="9">
        <v>46.54</v>
      </c>
      <c r="G115" s="10">
        <v>1</v>
      </c>
      <c r="H115" s="9">
        <v>46.54</v>
      </c>
      <c r="I115" t="s">
        <v>399</v>
      </c>
      <c r="J115" t="s">
        <v>257</v>
      </c>
      <c r="L115" s="14"/>
    </row>
    <row r="116" spans="1:12" x14ac:dyDescent="0.35">
      <c r="A116" t="s">
        <v>262</v>
      </c>
      <c r="B116" s="6" t="s">
        <v>384</v>
      </c>
      <c r="C116" s="8">
        <v>5003592236</v>
      </c>
      <c r="D116" s="7">
        <v>44942</v>
      </c>
      <c r="E116">
        <v>5116664079</v>
      </c>
      <c r="F116" s="9">
        <v>93.08</v>
      </c>
      <c r="G116" s="10">
        <v>2</v>
      </c>
      <c r="H116" s="9">
        <v>46.54</v>
      </c>
      <c r="I116" t="s">
        <v>399</v>
      </c>
      <c r="J116" t="s">
        <v>257</v>
      </c>
      <c r="L116" s="14"/>
    </row>
    <row r="117" spans="1:12" x14ac:dyDescent="0.35">
      <c r="A117" t="s">
        <v>263</v>
      </c>
      <c r="B117" s="6" t="s">
        <v>384</v>
      </c>
      <c r="C117" s="8">
        <v>5003593662</v>
      </c>
      <c r="D117" s="7">
        <v>44942</v>
      </c>
      <c r="E117">
        <v>5116664180</v>
      </c>
      <c r="F117" s="9">
        <v>46.54</v>
      </c>
      <c r="G117" s="10">
        <v>1</v>
      </c>
      <c r="H117" s="9">
        <v>46.54</v>
      </c>
      <c r="I117" t="s">
        <v>399</v>
      </c>
      <c r="J117" t="s">
        <v>257</v>
      </c>
      <c r="L117" s="14"/>
    </row>
    <row r="118" spans="1:12" x14ac:dyDescent="0.35">
      <c r="A118" t="s">
        <v>264</v>
      </c>
      <c r="B118" s="6" t="s">
        <v>384</v>
      </c>
      <c r="C118" s="8">
        <v>5003598213</v>
      </c>
      <c r="D118" s="7">
        <v>44942</v>
      </c>
      <c r="E118">
        <v>5116664181</v>
      </c>
      <c r="F118" s="9">
        <v>46.54</v>
      </c>
      <c r="G118" s="10">
        <v>1</v>
      </c>
      <c r="H118" s="9">
        <v>46.54</v>
      </c>
      <c r="I118" t="s">
        <v>399</v>
      </c>
      <c r="J118" t="s">
        <v>257</v>
      </c>
      <c r="L118" s="14"/>
    </row>
    <row r="119" spans="1:12" x14ac:dyDescent="0.35">
      <c r="A119" t="s">
        <v>265</v>
      </c>
      <c r="B119" s="6" t="s">
        <v>384</v>
      </c>
      <c r="C119" s="8">
        <v>5003605239</v>
      </c>
      <c r="D119" s="7">
        <v>44942</v>
      </c>
      <c r="E119">
        <v>5116664182</v>
      </c>
      <c r="F119" s="9">
        <v>46.54</v>
      </c>
      <c r="G119" s="10">
        <v>1</v>
      </c>
      <c r="H119" s="9">
        <v>46.54</v>
      </c>
      <c r="I119" t="s">
        <v>399</v>
      </c>
      <c r="J119" t="s">
        <v>257</v>
      </c>
      <c r="L119" s="14"/>
    </row>
    <row r="120" spans="1:12" x14ac:dyDescent="0.35">
      <c r="A120" t="s">
        <v>266</v>
      </c>
      <c r="B120" s="6" t="s">
        <v>387</v>
      </c>
      <c r="C120" s="8">
        <v>5003607373</v>
      </c>
      <c r="D120" s="7">
        <v>44942</v>
      </c>
      <c r="E120">
        <v>5116664184</v>
      </c>
      <c r="F120" s="9">
        <v>241.51</v>
      </c>
      <c r="G120" s="10">
        <v>1</v>
      </c>
      <c r="H120" s="9">
        <v>241.51</v>
      </c>
      <c r="I120" t="s">
        <v>399</v>
      </c>
      <c r="J120" t="s">
        <v>267</v>
      </c>
      <c r="L120" s="14"/>
    </row>
    <row r="121" spans="1:12" x14ac:dyDescent="0.35">
      <c r="A121" t="s">
        <v>268</v>
      </c>
      <c r="B121" s="6" t="s">
        <v>384</v>
      </c>
      <c r="C121" s="8">
        <v>5003607373</v>
      </c>
      <c r="D121" s="7">
        <v>44942</v>
      </c>
      <c r="E121">
        <v>5116664184</v>
      </c>
      <c r="F121" s="9">
        <v>325.77999999999997</v>
      </c>
      <c r="G121" s="10">
        <v>7</v>
      </c>
      <c r="H121" s="9">
        <v>46.54</v>
      </c>
      <c r="I121" t="s">
        <v>399</v>
      </c>
      <c r="J121" t="s">
        <v>257</v>
      </c>
      <c r="L121" s="14"/>
    </row>
    <row r="122" spans="1:12" x14ac:dyDescent="0.35">
      <c r="A122" t="s">
        <v>269</v>
      </c>
      <c r="B122" s="6" t="s">
        <v>387</v>
      </c>
      <c r="C122" s="8">
        <v>5003607373</v>
      </c>
      <c r="D122" s="7">
        <v>44942</v>
      </c>
      <c r="E122">
        <v>5116664184</v>
      </c>
      <c r="F122" s="9">
        <v>3783.04</v>
      </c>
      <c r="G122" s="10">
        <v>32</v>
      </c>
      <c r="H122" s="9">
        <v>118.22</v>
      </c>
      <c r="I122" t="s">
        <v>399</v>
      </c>
      <c r="J122" t="s">
        <v>270</v>
      </c>
      <c r="L122" s="14"/>
    </row>
    <row r="123" spans="1:12" hidden="1" x14ac:dyDescent="0.35">
      <c r="A123" t="s">
        <v>271</v>
      </c>
      <c r="B123" s="6" t="s">
        <v>388</v>
      </c>
      <c r="C123" s="8">
        <v>2351610624</v>
      </c>
      <c r="D123" s="7">
        <v>44943</v>
      </c>
      <c r="E123">
        <v>5116664517</v>
      </c>
      <c r="F123" s="9">
        <v>1265</v>
      </c>
      <c r="G123" s="10">
        <v>1</v>
      </c>
      <c r="H123" s="9">
        <v>1265</v>
      </c>
      <c r="I123" s="18" t="s">
        <v>405</v>
      </c>
      <c r="J123" t="s">
        <v>273</v>
      </c>
      <c r="L123" s="14"/>
    </row>
    <row r="124" spans="1:12" hidden="1" x14ac:dyDescent="0.35">
      <c r="A124" t="s">
        <v>274</v>
      </c>
      <c r="B124" s="6" t="s">
        <v>388</v>
      </c>
      <c r="C124" s="8">
        <v>2351610624</v>
      </c>
      <c r="D124" s="7">
        <v>44943</v>
      </c>
      <c r="E124">
        <v>5116664517</v>
      </c>
      <c r="F124" s="9">
        <v>350</v>
      </c>
      <c r="G124" s="10">
        <v>1</v>
      </c>
      <c r="H124" s="9">
        <v>350</v>
      </c>
      <c r="I124" s="18" t="s">
        <v>405</v>
      </c>
      <c r="J124" t="s">
        <v>273</v>
      </c>
      <c r="L124" s="14"/>
    </row>
    <row r="125" spans="1:12" hidden="1" x14ac:dyDescent="0.35">
      <c r="A125" t="s">
        <v>275</v>
      </c>
      <c r="B125" s="6" t="s">
        <v>388</v>
      </c>
      <c r="C125" s="8">
        <v>2351610624</v>
      </c>
      <c r="D125" s="7">
        <v>44943</v>
      </c>
      <c r="E125">
        <v>5116664517</v>
      </c>
      <c r="F125" s="9">
        <v>200.75</v>
      </c>
      <c r="G125" s="10">
        <v>1</v>
      </c>
      <c r="H125" s="9">
        <v>200.75</v>
      </c>
      <c r="I125" s="18" t="s">
        <v>405</v>
      </c>
      <c r="J125" t="s">
        <v>273</v>
      </c>
      <c r="L125" s="14"/>
    </row>
    <row r="126" spans="1:12" x14ac:dyDescent="0.35">
      <c r="A126" t="s">
        <v>276</v>
      </c>
      <c r="B126" s="6" t="s">
        <v>389</v>
      </c>
      <c r="C126" s="8">
        <v>2351575136</v>
      </c>
      <c r="D126" s="7">
        <v>44943</v>
      </c>
      <c r="E126">
        <v>5116664518</v>
      </c>
      <c r="F126" s="9">
        <v>1010.66</v>
      </c>
      <c r="G126" s="10">
        <v>14</v>
      </c>
      <c r="H126" s="9">
        <v>72.19</v>
      </c>
      <c r="I126" t="s">
        <v>399</v>
      </c>
      <c r="J126" t="s">
        <v>278</v>
      </c>
      <c r="L126" s="14"/>
    </row>
    <row r="127" spans="1:12" x14ac:dyDescent="0.35">
      <c r="A127" t="s">
        <v>279</v>
      </c>
      <c r="B127" s="6" t="s">
        <v>389</v>
      </c>
      <c r="C127" s="8">
        <v>2351647528</v>
      </c>
      <c r="D127" s="7">
        <v>44943</v>
      </c>
      <c r="E127">
        <v>5116664518</v>
      </c>
      <c r="F127" s="9">
        <v>386.16</v>
      </c>
      <c r="G127" s="10">
        <v>2</v>
      </c>
      <c r="H127" s="9">
        <v>193.08</v>
      </c>
      <c r="I127" t="s">
        <v>399</v>
      </c>
      <c r="J127" t="s">
        <v>280</v>
      </c>
      <c r="L127" s="14"/>
    </row>
    <row r="128" spans="1:12" x14ac:dyDescent="0.35">
      <c r="A128" t="s">
        <v>281</v>
      </c>
      <c r="B128" s="6" t="s">
        <v>390</v>
      </c>
      <c r="C128" s="8">
        <v>2351649162</v>
      </c>
      <c r="D128" s="7">
        <v>44943</v>
      </c>
      <c r="E128">
        <v>5116664518</v>
      </c>
      <c r="F128" s="9">
        <v>141.21</v>
      </c>
      <c r="G128" s="10">
        <v>9</v>
      </c>
      <c r="H128" s="9">
        <v>15.690000000000001</v>
      </c>
      <c r="I128" t="s">
        <v>399</v>
      </c>
      <c r="J128" t="s">
        <v>283</v>
      </c>
      <c r="L128" s="14"/>
    </row>
    <row r="129" spans="1:12" x14ac:dyDescent="0.35">
      <c r="A129" t="s">
        <v>284</v>
      </c>
      <c r="B129" s="6" t="s">
        <v>390</v>
      </c>
      <c r="C129" s="8">
        <v>2351649162</v>
      </c>
      <c r="D129" s="7">
        <v>44943</v>
      </c>
      <c r="E129">
        <v>5116664518</v>
      </c>
      <c r="F129" s="9">
        <v>788</v>
      </c>
      <c r="G129" s="10">
        <v>20</v>
      </c>
      <c r="H129" s="9">
        <v>39.4</v>
      </c>
      <c r="I129" t="s">
        <v>399</v>
      </c>
      <c r="J129" t="s">
        <v>285</v>
      </c>
      <c r="L129" s="14"/>
    </row>
    <row r="130" spans="1:12" x14ac:dyDescent="0.35">
      <c r="A130" t="s">
        <v>286</v>
      </c>
      <c r="B130" s="6" t="s">
        <v>389</v>
      </c>
      <c r="C130" s="8">
        <v>2351663395</v>
      </c>
      <c r="D130" s="7">
        <v>44943</v>
      </c>
      <c r="E130">
        <v>5116664518</v>
      </c>
      <c r="F130" s="9">
        <v>193.08</v>
      </c>
      <c r="G130" s="10">
        <v>1</v>
      </c>
      <c r="H130" s="9">
        <v>193.08</v>
      </c>
      <c r="I130" t="s">
        <v>399</v>
      </c>
      <c r="J130" t="s">
        <v>280</v>
      </c>
      <c r="L130" s="14"/>
    </row>
    <row r="131" spans="1:12" x14ac:dyDescent="0.35">
      <c r="A131" t="s">
        <v>287</v>
      </c>
      <c r="B131" s="6" t="s">
        <v>391</v>
      </c>
      <c r="C131" s="8">
        <v>2351663940</v>
      </c>
      <c r="D131" s="7">
        <v>44943</v>
      </c>
      <c r="E131">
        <v>5116664518</v>
      </c>
      <c r="F131" s="9">
        <v>1408.32</v>
      </c>
      <c r="G131" s="10">
        <v>144</v>
      </c>
      <c r="H131" s="9">
        <v>9.7799999999999994</v>
      </c>
      <c r="I131" t="s">
        <v>399</v>
      </c>
      <c r="J131" t="s">
        <v>289</v>
      </c>
      <c r="L131" s="14"/>
    </row>
    <row r="132" spans="1:12" x14ac:dyDescent="0.35">
      <c r="A132" t="s">
        <v>290</v>
      </c>
      <c r="B132" s="6" t="s">
        <v>391</v>
      </c>
      <c r="C132" s="8">
        <v>2351664191</v>
      </c>
      <c r="D132" s="7">
        <v>44943</v>
      </c>
      <c r="E132">
        <v>5116664518</v>
      </c>
      <c r="F132" s="9">
        <v>1119.3599999999999</v>
      </c>
      <c r="G132" s="10">
        <v>96</v>
      </c>
      <c r="H132" s="9">
        <v>11.659999999999998</v>
      </c>
      <c r="I132" t="s">
        <v>399</v>
      </c>
      <c r="J132" t="s">
        <v>291</v>
      </c>
      <c r="L132" s="14"/>
    </row>
    <row r="133" spans="1:12" x14ac:dyDescent="0.35">
      <c r="A133" t="s">
        <v>292</v>
      </c>
      <c r="B133" s="6" t="s">
        <v>392</v>
      </c>
      <c r="C133" s="8">
        <v>2351665188</v>
      </c>
      <c r="D133" s="7">
        <v>44943</v>
      </c>
      <c r="E133">
        <v>5116664518</v>
      </c>
      <c r="F133" s="9">
        <v>143.76</v>
      </c>
      <c r="G133" s="10">
        <v>3</v>
      </c>
      <c r="H133" s="9">
        <v>47.919999999999995</v>
      </c>
      <c r="I133" t="s">
        <v>399</v>
      </c>
      <c r="J133" t="s">
        <v>294</v>
      </c>
      <c r="L133" s="14"/>
    </row>
    <row r="134" spans="1:12" x14ac:dyDescent="0.35">
      <c r="A134" t="s">
        <v>295</v>
      </c>
      <c r="B134" s="6" t="s">
        <v>393</v>
      </c>
      <c r="C134" s="8">
        <v>2351669094</v>
      </c>
      <c r="D134" s="7">
        <v>44943</v>
      </c>
      <c r="E134">
        <v>5116664518</v>
      </c>
      <c r="F134" s="9">
        <v>868.74</v>
      </c>
      <c r="G134" s="10">
        <v>6</v>
      </c>
      <c r="H134" s="9">
        <v>144.79</v>
      </c>
      <c r="I134" t="s">
        <v>399</v>
      </c>
      <c r="J134" t="s">
        <v>47</v>
      </c>
      <c r="L134" s="14"/>
    </row>
    <row r="135" spans="1:12" x14ac:dyDescent="0.35">
      <c r="A135" t="s">
        <v>297</v>
      </c>
      <c r="B135" s="6" t="s">
        <v>393</v>
      </c>
      <c r="C135" s="8">
        <v>2351669094</v>
      </c>
      <c r="D135" s="7">
        <v>44943</v>
      </c>
      <c r="E135">
        <v>5116664518</v>
      </c>
      <c r="F135" s="9">
        <v>144.79</v>
      </c>
      <c r="G135" s="10">
        <v>1</v>
      </c>
      <c r="H135" s="9">
        <v>144.79</v>
      </c>
      <c r="I135" t="s">
        <v>399</v>
      </c>
      <c r="J135" t="s">
        <v>47</v>
      </c>
      <c r="L135" s="14"/>
    </row>
    <row r="136" spans="1:12" x14ac:dyDescent="0.35">
      <c r="A136" t="s">
        <v>298</v>
      </c>
      <c r="B136" s="6" t="s">
        <v>392</v>
      </c>
      <c r="C136" s="8">
        <v>2351671007</v>
      </c>
      <c r="D136" s="7">
        <v>44943</v>
      </c>
      <c r="E136">
        <v>5116664518</v>
      </c>
      <c r="F136" s="9">
        <v>1135.8399999999999</v>
      </c>
      <c r="G136" s="10">
        <v>16</v>
      </c>
      <c r="H136" s="9">
        <v>70.989999999999995</v>
      </c>
      <c r="I136" t="s">
        <v>399</v>
      </c>
      <c r="J136" t="s">
        <v>223</v>
      </c>
      <c r="L136" s="14"/>
    </row>
    <row r="137" spans="1:12" x14ac:dyDescent="0.35">
      <c r="A137" t="s">
        <v>299</v>
      </c>
      <c r="B137" s="6" t="s">
        <v>390</v>
      </c>
      <c r="C137" s="8">
        <v>2351671791</v>
      </c>
      <c r="D137" s="7">
        <v>44943</v>
      </c>
      <c r="E137">
        <v>5116664518</v>
      </c>
      <c r="F137" s="9">
        <v>170.4</v>
      </c>
      <c r="G137" s="10">
        <v>30</v>
      </c>
      <c r="H137" s="9">
        <v>5.6800000000000006</v>
      </c>
      <c r="I137" t="s">
        <v>399</v>
      </c>
      <c r="J137" t="s">
        <v>139</v>
      </c>
      <c r="L137" s="14"/>
    </row>
    <row r="138" spans="1:12" x14ac:dyDescent="0.35">
      <c r="A138" t="s">
        <v>300</v>
      </c>
      <c r="B138" s="6" t="s">
        <v>390</v>
      </c>
      <c r="C138" s="8">
        <v>2351671791</v>
      </c>
      <c r="D138" s="7">
        <v>44943</v>
      </c>
      <c r="E138">
        <v>5116664518</v>
      </c>
      <c r="F138" s="9">
        <v>2010.6</v>
      </c>
      <c r="G138" s="10">
        <v>20</v>
      </c>
      <c r="H138" s="9">
        <v>100.53</v>
      </c>
      <c r="I138" t="s">
        <v>399</v>
      </c>
      <c r="J138" t="s">
        <v>301</v>
      </c>
      <c r="L138" s="14"/>
    </row>
    <row r="139" spans="1:12" x14ac:dyDescent="0.35">
      <c r="A139" t="s">
        <v>302</v>
      </c>
      <c r="B139" s="6" t="s">
        <v>394</v>
      </c>
      <c r="C139" s="8">
        <v>2351671793</v>
      </c>
      <c r="D139" s="7">
        <v>44943</v>
      </c>
      <c r="E139">
        <v>5116664518</v>
      </c>
      <c r="F139" s="9">
        <v>4336.8</v>
      </c>
      <c r="G139" s="10">
        <v>30</v>
      </c>
      <c r="H139" s="9">
        <v>144.56</v>
      </c>
      <c r="I139" t="s">
        <v>399</v>
      </c>
      <c r="J139" t="s">
        <v>304</v>
      </c>
      <c r="L139" s="14"/>
    </row>
    <row r="140" spans="1:12" x14ac:dyDescent="0.35">
      <c r="A140" t="s">
        <v>305</v>
      </c>
      <c r="B140" s="6" t="s">
        <v>389</v>
      </c>
      <c r="C140" s="8">
        <v>2351671793</v>
      </c>
      <c r="D140" s="7">
        <v>44943</v>
      </c>
      <c r="E140">
        <v>5116664518</v>
      </c>
      <c r="F140" s="9">
        <v>193.08</v>
      </c>
      <c r="G140" s="10">
        <v>1</v>
      </c>
      <c r="H140" s="9">
        <v>193.08</v>
      </c>
      <c r="I140" t="s">
        <v>399</v>
      </c>
      <c r="J140" t="s">
        <v>280</v>
      </c>
      <c r="L140" s="14"/>
    </row>
    <row r="141" spans="1:12" x14ac:dyDescent="0.35">
      <c r="A141" t="s">
        <v>306</v>
      </c>
      <c r="B141" s="6" t="s">
        <v>389</v>
      </c>
      <c r="C141" s="8">
        <v>2351671793</v>
      </c>
      <c r="D141" s="7">
        <v>44943</v>
      </c>
      <c r="E141">
        <v>5116664518</v>
      </c>
      <c r="F141" s="9">
        <v>1950.8</v>
      </c>
      <c r="G141" s="10">
        <v>10</v>
      </c>
      <c r="H141" s="9">
        <v>195.07999999999998</v>
      </c>
      <c r="I141" t="s">
        <v>399</v>
      </c>
      <c r="J141" t="s">
        <v>26</v>
      </c>
      <c r="L141" s="14"/>
    </row>
    <row r="142" spans="1:12" x14ac:dyDescent="0.35">
      <c r="A142" t="s">
        <v>307</v>
      </c>
      <c r="B142" s="6" t="s">
        <v>392</v>
      </c>
      <c r="C142" s="8">
        <v>2351671793</v>
      </c>
      <c r="D142" s="7">
        <v>44943</v>
      </c>
      <c r="E142">
        <v>5116664518</v>
      </c>
      <c r="F142" s="9">
        <v>2653.82</v>
      </c>
      <c r="G142" s="10">
        <v>26</v>
      </c>
      <c r="H142" s="9">
        <v>102.07000000000001</v>
      </c>
      <c r="I142" t="s">
        <v>399</v>
      </c>
      <c r="J142" t="s">
        <v>308</v>
      </c>
      <c r="L142" s="14"/>
    </row>
    <row r="143" spans="1:12" x14ac:dyDescent="0.35">
      <c r="A143" t="s">
        <v>309</v>
      </c>
      <c r="B143" s="6" t="s">
        <v>389</v>
      </c>
      <c r="C143" s="8">
        <v>2351671793</v>
      </c>
      <c r="D143" s="7">
        <v>44943</v>
      </c>
      <c r="E143">
        <v>5116664518</v>
      </c>
      <c r="F143" s="9">
        <v>840.57</v>
      </c>
      <c r="G143" s="10">
        <v>3</v>
      </c>
      <c r="H143" s="9">
        <v>280.19</v>
      </c>
      <c r="I143" t="s">
        <v>399</v>
      </c>
      <c r="J143" t="s">
        <v>147</v>
      </c>
      <c r="L143" s="14"/>
    </row>
    <row r="144" spans="1:12" x14ac:dyDescent="0.35">
      <c r="A144" t="s">
        <v>310</v>
      </c>
      <c r="B144" s="6" t="s">
        <v>390</v>
      </c>
      <c r="C144" s="8">
        <v>2351677263</v>
      </c>
      <c r="D144" s="7">
        <v>44943</v>
      </c>
      <c r="E144">
        <v>5116664518</v>
      </c>
      <c r="F144" s="9">
        <v>234.8</v>
      </c>
      <c r="G144" s="10">
        <v>20</v>
      </c>
      <c r="H144" s="9">
        <v>11.74</v>
      </c>
      <c r="I144" t="s">
        <v>399</v>
      </c>
      <c r="J144" t="s">
        <v>141</v>
      </c>
      <c r="L144" s="14"/>
    </row>
    <row r="145" spans="1:12" hidden="1" x14ac:dyDescent="0.35">
      <c r="A145" t="s">
        <v>311</v>
      </c>
      <c r="B145" s="6">
        <v>1221572871490000</v>
      </c>
      <c r="C145" s="8">
        <v>2351632982</v>
      </c>
      <c r="D145" s="7">
        <v>44943</v>
      </c>
      <c r="E145">
        <v>5116664519</v>
      </c>
      <c r="F145" s="9">
        <v>513.24</v>
      </c>
      <c r="G145" s="10">
        <v>1</v>
      </c>
      <c r="H145" s="9">
        <v>513.24</v>
      </c>
      <c r="I145" t="s">
        <v>400</v>
      </c>
      <c r="J145" t="s">
        <v>100</v>
      </c>
      <c r="L145" s="14"/>
    </row>
    <row r="146" spans="1:12" x14ac:dyDescent="0.35">
      <c r="A146" t="s">
        <v>313</v>
      </c>
      <c r="B146" s="6" t="s">
        <v>395</v>
      </c>
      <c r="C146" s="8">
        <v>2351667820</v>
      </c>
      <c r="D146" s="7">
        <v>44943</v>
      </c>
      <c r="E146">
        <v>5116664519</v>
      </c>
      <c r="F146" s="9">
        <v>151.08000000000001</v>
      </c>
      <c r="G146" s="10">
        <v>3</v>
      </c>
      <c r="H146" s="9">
        <v>50.360000000000007</v>
      </c>
      <c r="I146" t="s">
        <v>399</v>
      </c>
      <c r="J146" t="s">
        <v>315</v>
      </c>
      <c r="L146" s="14"/>
    </row>
    <row r="147" spans="1:12" x14ac:dyDescent="0.35">
      <c r="A147" t="s">
        <v>316</v>
      </c>
      <c r="B147" s="6" t="s">
        <v>392</v>
      </c>
      <c r="C147" s="8">
        <v>2351671008</v>
      </c>
      <c r="D147" s="7">
        <v>44943</v>
      </c>
      <c r="E147">
        <v>5116664519</v>
      </c>
      <c r="F147" s="9">
        <v>599.88</v>
      </c>
      <c r="G147" s="10">
        <v>6</v>
      </c>
      <c r="H147" s="9">
        <v>99.98</v>
      </c>
      <c r="I147" t="s">
        <v>399</v>
      </c>
      <c r="J147" t="s">
        <v>317</v>
      </c>
      <c r="L147" s="14"/>
    </row>
    <row r="148" spans="1:12" x14ac:dyDescent="0.35">
      <c r="A148" t="s">
        <v>318</v>
      </c>
      <c r="B148" s="6" t="s">
        <v>392</v>
      </c>
      <c r="C148" s="8">
        <v>2351671796</v>
      </c>
      <c r="D148" s="7">
        <v>44943</v>
      </c>
      <c r="E148">
        <v>5116664519</v>
      </c>
      <c r="F148" s="9">
        <v>4467.84</v>
      </c>
      <c r="G148" s="10">
        <v>96</v>
      </c>
      <c r="H148" s="9">
        <v>46.54</v>
      </c>
      <c r="I148" t="s">
        <v>399</v>
      </c>
      <c r="J148" t="s">
        <v>257</v>
      </c>
      <c r="L148" s="14"/>
    </row>
    <row r="149" spans="1:12" x14ac:dyDescent="0.35">
      <c r="A149" t="s">
        <v>319</v>
      </c>
      <c r="B149" s="6" t="s">
        <v>392</v>
      </c>
      <c r="C149" s="8">
        <v>2351671796</v>
      </c>
      <c r="D149" s="7">
        <v>44943</v>
      </c>
      <c r="E149">
        <v>5116664519</v>
      </c>
      <c r="F149" s="9">
        <v>791.18</v>
      </c>
      <c r="G149" s="10">
        <v>17</v>
      </c>
      <c r="H149" s="9">
        <v>46.54</v>
      </c>
      <c r="I149" t="s">
        <v>399</v>
      </c>
      <c r="J149" t="s">
        <v>257</v>
      </c>
      <c r="L149" s="14"/>
    </row>
    <row r="150" spans="1:12" hidden="1" x14ac:dyDescent="0.35">
      <c r="A150" t="s">
        <v>320</v>
      </c>
      <c r="B150" s="6">
        <v>1241877282090000</v>
      </c>
      <c r="C150" s="8">
        <v>2351672618</v>
      </c>
      <c r="D150" s="7">
        <v>44943</v>
      </c>
      <c r="E150">
        <v>5116664519</v>
      </c>
      <c r="F150" s="9">
        <v>89.1</v>
      </c>
      <c r="G150" s="10">
        <v>10</v>
      </c>
      <c r="H150" s="9">
        <v>8.91</v>
      </c>
      <c r="I150" t="s">
        <v>400</v>
      </c>
      <c r="J150" t="s">
        <v>322</v>
      </c>
      <c r="L150" s="14"/>
    </row>
    <row r="151" spans="1:12" x14ac:dyDescent="0.35">
      <c r="A151" t="s">
        <v>323</v>
      </c>
      <c r="B151" s="6" t="s">
        <v>396</v>
      </c>
      <c r="C151" s="8">
        <v>2351678640</v>
      </c>
      <c r="D151" s="7">
        <v>44943</v>
      </c>
      <c r="E151">
        <v>5116664519</v>
      </c>
      <c r="F151" s="9">
        <v>2654.47</v>
      </c>
      <c r="G151" s="10">
        <v>13</v>
      </c>
      <c r="H151" s="9">
        <v>204.19</v>
      </c>
      <c r="I151" t="s">
        <v>399</v>
      </c>
      <c r="J151" t="s">
        <v>325</v>
      </c>
      <c r="L151" s="14"/>
    </row>
    <row r="152" spans="1:12" x14ac:dyDescent="0.35">
      <c r="A152" t="s">
        <v>326</v>
      </c>
      <c r="B152" s="6" t="s">
        <v>397</v>
      </c>
      <c r="C152" s="8">
        <v>5003603516</v>
      </c>
      <c r="D152" s="7">
        <v>44943</v>
      </c>
      <c r="E152">
        <v>5116661490</v>
      </c>
      <c r="F152" s="9">
        <v>16691.04</v>
      </c>
      <c r="G152" s="10">
        <v>16</v>
      </c>
      <c r="H152" s="9">
        <v>1043.19</v>
      </c>
      <c r="I152" t="s">
        <v>399</v>
      </c>
      <c r="J152" t="s">
        <v>164</v>
      </c>
      <c r="L152" s="14"/>
    </row>
    <row r="153" spans="1:12" x14ac:dyDescent="0.35">
      <c r="A153" t="s">
        <v>328</v>
      </c>
      <c r="B153" s="6" t="s">
        <v>398</v>
      </c>
      <c r="C153" s="8">
        <v>5003606166</v>
      </c>
      <c r="D153" s="7">
        <v>44943</v>
      </c>
      <c r="E153">
        <v>5116661490</v>
      </c>
      <c r="F153" s="9">
        <v>105554.88</v>
      </c>
      <c r="G153" s="10">
        <v>76</v>
      </c>
      <c r="H153" s="9">
        <v>1388.88</v>
      </c>
      <c r="I153" t="s">
        <v>399</v>
      </c>
      <c r="J153" t="s">
        <v>105</v>
      </c>
      <c r="L153" s="14"/>
    </row>
    <row r="154" spans="1:12" x14ac:dyDescent="0.35">
      <c r="A154" t="s">
        <v>330</v>
      </c>
      <c r="B154" s="6" t="s">
        <v>398</v>
      </c>
      <c r="C154" s="8">
        <v>5003606166</v>
      </c>
      <c r="D154" s="7">
        <v>44943</v>
      </c>
      <c r="E154">
        <v>5116661490</v>
      </c>
      <c r="F154" s="9">
        <v>38265.599999999999</v>
      </c>
      <c r="G154" s="10">
        <v>32</v>
      </c>
      <c r="H154" s="9">
        <v>1195.8</v>
      </c>
      <c r="I154" t="s">
        <v>399</v>
      </c>
      <c r="J154" t="s">
        <v>331</v>
      </c>
      <c r="L154" s="14"/>
    </row>
    <row r="155" spans="1:12" x14ac:dyDescent="0.35">
      <c r="A155" t="s">
        <v>332</v>
      </c>
      <c r="B155" s="6" t="s">
        <v>397</v>
      </c>
      <c r="C155" s="8">
        <v>5003631183</v>
      </c>
      <c r="D155" s="7">
        <v>44943</v>
      </c>
      <c r="E155">
        <v>5116661490</v>
      </c>
      <c r="F155" s="9">
        <v>28681.200000000001</v>
      </c>
      <c r="G155" s="10">
        <v>24</v>
      </c>
      <c r="H155" s="9">
        <v>1195.05</v>
      </c>
      <c r="I155" t="s">
        <v>399</v>
      </c>
      <c r="J155" t="s">
        <v>66</v>
      </c>
      <c r="L155" s="14"/>
    </row>
    <row r="156" spans="1:12" x14ac:dyDescent="0.35">
      <c r="A156" t="s">
        <v>333</v>
      </c>
      <c r="B156" s="6" t="s">
        <v>397</v>
      </c>
      <c r="C156" s="8">
        <v>5003644767</v>
      </c>
      <c r="D156" s="7">
        <v>44943</v>
      </c>
      <c r="E156">
        <v>5116661490</v>
      </c>
      <c r="F156" s="9">
        <v>27051.599999999999</v>
      </c>
      <c r="G156" s="10">
        <v>24</v>
      </c>
      <c r="H156" s="9">
        <v>1127.1499999999999</v>
      </c>
      <c r="I156" t="s">
        <v>399</v>
      </c>
      <c r="J156" t="s">
        <v>334</v>
      </c>
      <c r="L156" s="14"/>
    </row>
    <row r="157" spans="1:12" hidden="1" x14ac:dyDescent="0.35">
      <c r="A157" t="s">
        <v>335</v>
      </c>
      <c r="B157" s="6">
        <v>5003619269</v>
      </c>
      <c r="C157" s="8">
        <v>5003619269</v>
      </c>
      <c r="D157" s="7">
        <v>44937</v>
      </c>
      <c r="E157">
        <v>5116661284</v>
      </c>
      <c r="F157" s="9">
        <v>6829.92</v>
      </c>
      <c r="G157" s="10">
        <v>1</v>
      </c>
      <c r="H157" s="9">
        <v>6829.92</v>
      </c>
      <c r="I157" t="s">
        <v>402</v>
      </c>
      <c r="J157" t="s">
        <v>337</v>
      </c>
      <c r="L157" s="14"/>
    </row>
    <row r="158" spans="1:12" hidden="1" x14ac:dyDescent="0.35">
      <c r="A158" t="s">
        <v>338</v>
      </c>
      <c r="B158" s="6">
        <v>5003459800</v>
      </c>
      <c r="C158" s="8">
        <v>5003459800</v>
      </c>
      <c r="D158" s="7">
        <v>44937</v>
      </c>
      <c r="E158">
        <v>5116661285</v>
      </c>
      <c r="F158" s="9">
        <v>147.56</v>
      </c>
      <c r="G158" s="10">
        <v>7</v>
      </c>
      <c r="H158" s="9">
        <v>21.080000000000002</v>
      </c>
      <c r="I158" t="s">
        <v>401</v>
      </c>
      <c r="J158" t="s">
        <v>340</v>
      </c>
      <c r="L158" s="14"/>
    </row>
    <row r="159" spans="1:12" hidden="1" x14ac:dyDescent="0.35">
      <c r="A159" t="s">
        <v>341</v>
      </c>
      <c r="B159" s="6">
        <v>5003459800</v>
      </c>
      <c r="C159" s="8">
        <v>5003459800</v>
      </c>
      <c r="D159" s="7">
        <v>44937</v>
      </c>
      <c r="E159">
        <v>5116661285</v>
      </c>
      <c r="F159" s="9">
        <v>86.4</v>
      </c>
      <c r="G159" s="10">
        <v>15</v>
      </c>
      <c r="H159" s="9">
        <v>5.7600000000000007</v>
      </c>
      <c r="I159" t="s">
        <v>401</v>
      </c>
      <c r="J159" t="s">
        <v>342</v>
      </c>
      <c r="L159" s="14"/>
    </row>
    <row r="160" spans="1:12" hidden="1" x14ac:dyDescent="0.35">
      <c r="A160" t="s">
        <v>343</v>
      </c>
      <c r="B160" s="6">
        <v>5003459800</v>
      </c>
      <c r="C160" s="8">
        <v>5003459800</v>
      </c>
      <c r="D160" s="7">
        <v>44937</v>
      </c>
      <c r="E160">
        <v>5116661285</v>
      </c>
      <c r="F160" s="9">
        <v>17.52</v>
      </c>
      <c r="G160" s="10">
        <v>3</v>
      </c>
      <c r="H160" s="9">
        <v>5.84</v>
      </c>
      <c r="I160" t="s">
        <v>401</v>
      </c>
      <c r="J160" t="s">
        <v>344</v>
      </c>
      <c r="L160" s="14"/>
    </row>
  </sheetData>
  <autoFilter ref="A2:L160" xr:uid="{30DF6AD4-BDF9-4791-9EAF-6BD16FEC5B29}">
    <filterColumn colId="1">
      <filters>
        <filter val="L00230339"/>
        <filter val="L00230806"/>
        <filter val="L00230861"/>
        <filter val="L00230885"/>
        <filter val="L00230888"/>
        <filter val="L00230890"/>
        <filter val="L00230945"/>
        <filter val="L00230946"/>
        <filter val="L00230947"/>
        <filter val="L00230950"/>
        <filter val="L00230953"/>
        <filter val="L00230956"/>
        <filter val="L00230957"/>
        <filter val="L00230963"/>
        <filter val="L00230964"/>
        <filter val="L00231068"/>
        <filter val="L00231069"/>
        <filter val="L00231148"/>
        <filter val="L00231168"/>
        <filter val="L00231187"/>
        <filter val="L00231188"/>
        <filter val="L00231252"/>
        <filter val="L00231254"/>
        <filter val="L00231268"/>
        <filter val="L00231271"/>
        <filter val="L00231277"/>
        <filter val="L00231312"/>
        <filter val="L00231314"/>
        <filter val="L00231353"/>
        <filter val="L00231358"/>
        <filter val="L00231359"/>
        <filter val="L00231362"/>
        <filter val="L00231368"/>
        <filter val="L00231407"/>
        <filter val="L00231412"/>
        <filter val="L00231420"/>
        <filter val="L00231455"/>
        <filter val="L00231510"/>
        <filter val="L00231548"/>
        <filter val="L00231627"/>
        <filter val="L00231643"/>
        <filter val="L00231772"/>
        <filter val="L00231798"/>
        <filter val="L00231843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941FB-08DB-4973-AC49-DD2F3F49E818}">
  <dimension ref="A1:L134"/>
  <sheetViews>
    <sheetView workbookViewId="0">
      <selection sqref="A1:J134"/>
    </sheetView>
  </sheetViews>
  <sheetFormatPr defaultRowHeight="14.5" x14ac:dyDescent="0.35"/>
  <cols>
    <col min="3" max="3" width="12.81640625" bestFit="1" customWidth="1"/>
  </cols>
  <sheetData>
    <row r="1" spans="1:12" x14ac:dyDescent="0.35">
      <c r="A1" s="1" t="s">
        <v>1</v>
      </c>
      <c r="B1" s="2" t="s">
        <v>3</v>
      </c>
      <c r="C1" s="3" t="s">
        <v>5</v>
      </c>
      <c r="D1" s="5" t="s">
        <v>11</v>
      </c>
      <c r="E1" s="1" t="s">
        <v>0</v>
      </c>
      <c r="F1" s="4" t="s">
        <v>9</v>
      </c>
      <c r="G1" s="4" t="s">
        <v>8</v>
      </c>
      <c r="H1" s="4" t="s">
        <v>7</v>
      </c>
      <c r="I1" s="12" t="s">
        <v>348</v>
      </c>
      <c r="J1" s="1" t="s">
        <v>6</v>
      </c>
    </row>
    <row r="2" spans="1:12" x14ac:dyDescent="0.35">
      <c r="A2" t="s">
        <v>12</v>
      </c>
      <c r="B2" s="6" t="s">
        <v>350</v>
      </c>
      <c r="C2" s="8">
        <v>5003527928</v>
      </c>
      <c r="D2" s="7">
        <v>44942</v>
      </c>
      <c r="E2">
        <v>5116660217</v>
      </c>
      <c r="F2" s="9">
        <v>1358</v>
      </c>
      <c r="G2" s="10">
        <v>200</v>
      </c>
      <c r="H2" s="9">
        <v>6.79</v>
      </c>
      <c r="I2" t="s">
        <v>399</v>
      </c>
      <c r="J2" t="s">
        <v>14</v>
      </c>
      <c r="L2" s="14"/>
    </row>
    <row r="3" spans="1:12" x14ac:dyDescent="0.35">
      <c r="A3" t="s">
        <v>15</v>
      </c>
      <c r="B3" s="6" t="s">
        <v>350</v>
      </c>
      <c r="C3" s="8">
        <v>5003564185</v>
      </c>
      <c r="D3" s="7">
        <v>44942</v>
      </c>
      <c r="E3">
        <v>5116660218</v>
      </c>
      <c r="F3" s="9">
        <v>16.920000000000002</v>
      </c>
      <c r="G3" s="10">
        <v>2</v>
      </c>
      <c r="H3" s="9">
        <v>8.4600000000000009</v>
      </c>
      <c r="I3" t="s">
        <v>399</v>
      </c>
      <c r="J3" t="s">
        <v>16</v>
      </c>
      <c r="L3" s="14"/>
    </row>
    <row r="4" spans="1:12" x14ac:dyDescent="0.35">
      <c r="A4" t="s">
        <v>17</v>
      </c>
      <c r="B4" s="6" t="s">
        <v>351</v>
      </c>
      <c r="C4" s="8">
        <v>5003598214</v>
      </c>
      <c r="D4" s="7">
        <v>44942</v>
      </c>
      <c r="E4">
        <v>5116660219</v>
      </c>
      <c r="F4" s="9">
        <v>8380.2000000000007</v>
      </c>
      <c r="G4" s="10">
        <v>60</v>
      </c>
      <c r="H4" s="9">
        <v>139.67000000000002</v>
      </c>
      <c r="I4" t="s">
        <v>399</v>
      </c>
      <c r="J4" t="s">
        <v>19</v>
      </c>
      <c r="L4" s="14"/>
    </row>
    <row r="5" spans="1:12" x14ac:dyDescent="0.35">
      <c r="A5" t="s">
        <v>20</v>
      </c>
      <c r="B5" s="6" t="s">
        <v>351</v>
      </c>
      <c r="C5" s="8">
        <v>5003603610</v>
      </c>
      <c r="D5" s="7">
        <v>44942</v>
      </c>
      <c r="E5">
        <v>5116660330</v>
      </c>
      <c r="F5" s="9">
        <v>668.45</v>
      </c>
      <c r="G5" s="10">
        <v>5</v>
      </c>
      <c r="H5" s="9">
        <v>133.69</v>
      </c>
      <c r="I5" t="s">
        <v>399</v>
      </c>
      <c r="J5" t="s">
        <v>21</v>
      </c>
      <c r="L5" s="14"/>
    </row>
    <row r="6" spans="1:12" x14ac:dyDescent="0.35">
      <c r="A6" t="s">
        <v>22</v>
      </c>
      <c r="B6" s="6" t="s">
        <v>350</v>
      </c>
      <c r="C6" s="8">
        <v>5003636516</v>
      </c>
      <c r="D6" s="7">
        <v>44942</v>
      </c>
      <c r="E6">
        <v>5116660331</v>
      </c>
      <c r="F6" s="9">
        <v>92.05</v>
      </c>
      <c r="G6" s="10">
        <v>5</v>
      </c>
      <c r="H6" s="9">
        <v>18.41</v>
      </c>
      <c r="I6" t="s">
        <v>399</v>
      </c>
      <c r="J6" t="s">
        <v>23</v>
      </c>
      <c r="L6" s="14"/>
    </row>
    <row r="7" spans="1:12" x14ac:dyDescent="0.35">
      <c r="A7" t="s">
        <v>24</v>
      </c>
      <c r="B7" s="6" t="s">
        <v>352</v>
      </c>
      <c r="C7" s="8">
        <v>5003450192</v>
      </c>
      <c r="D7" s="7">
        <v>44944</v>
      </c>
      <c r="E7">
        <v>5116667552</v>
      </c>
      <c r="F7" s="9">
        <v>975.4</v>
      </c>
      <c r="G7" s="10">
        <v>5</v>
      </c>
      <c r="H7" s="9">
        <v>195.07999999999998</v>
      </c>
      <c r="I7" t="s">
        <v>399</v>
      </c>
      <c r="J7" t="s">
        <v>26</v>
      </c>
      <c r="L7" s="14"/>
    </row>
    <row r="8" spans="1:12" x14ac:dyDescent="0.35">
      <c r="A8" t="s">
        <v>27</v>
      </c>
      <c r="B8" s="6" t="s">
        <v>353</v>
      </c>
      <c r="C8" s="8">
        <v>5003497527</v>
      </c>
      <c r="D8" s="7">
        <v>44944</v>
      </c>
      <c r="E8">
        <v>5116667553</v>
      </c>
      <c r="F8" s="9">
        <v>39.4</v>
      </c>
      <c r="G8" s="10">
        <v>4</v>
      </c>
      <c r="H8" s="9">
        <v>9.85</v>
      </c>
      <c r="I8" t="s">
        <v>399</v>
      </c>
      <c r="J8" t="s">
        <v>29</v>
      </c>
      <c r="L8" s="14"/>
    </row>
    <row r="9" spans="1:12" x14ac:dyDescent="0.35">
      <c r="A9" t="s">
        <v>30</v>
      </c>
      <c r="B9" s="6" t="s">
        <v>354</v>
      </c>
      <c r="C9" s="8">
        <v>5003520592</v>
      </c>
      <c r="D9" s="7">
        <v>44944</v>
      </c>
      <c r="E9">
        <v>5116667554</v>
      </c>
      <c r="F9" s="9">
        <v>32.72</v>
      </c>
      <c r="G9" s="10">
        <v>8</v>
      </c>
      <c r="H9" s="9">
        <v>4.09</v>
      </c>
      <c r="I9" t="s">
        <v>399</v>
      </c>
      <c r="J9" t="s">
        <v>32</v>
      </c>
      <c r="L9" s="14"/>
    </row>
    <row r="10" spans="1:12" x14ac:dyDescent="0.35">
      <c r="A10" t="s">
        <v>33</v>
      </c>
      <c r="B10" s="6" t="s">
        <v>354</v>
      </c>
      <c r="C10" s="8">
        <v>5003556635</v>
      </c>
      <c r="D10" s="7">
        <v>44944</v>
      </c>
      <c r="E10">
        <v>5116667556</v>
      </c>
      <c r="F10" s="9">
        <v>58.8</v>
      </c>
      <c r="G10" s="10">
        <v>60</v>
      </c>
      <c r="H10" s="9">
        <v>0.98</v>
      </c>
      <c r="I10" t="s">
        <v>399</v>
      </c>
      <c r="J10" t="s">
        <v>34</v>
      </c>
      <c r="L10" s="14"/>
    </row>
    <row r="11" spans="1:12" x14ac:dyDescent="0.35">
      <c r="A11" t="s">
        <v>35</v>
      </c>
      <c r="B11" s="6" t="s">
        <v>354</v>
      </c>
      <c r="C11" s="8">
        <v>5003567912</v>
      </c>
      <c r="D11" s="7">
        <v>44944</v>
      </c>
      <c r="E11">
        <v>5116667557</v>
      </c>
      <c r="F11" s="9">
        <v>8.18</v>
      </c>
      <c r="G11" s="10">
        <v>2</v>
      </c>
      <c r="H11" s="9">
        <v>4.09</v>
      </c>
      <c r="I11" t="s">
        <v>399</v>
      </c>
      <c r="J11" t="s">
        <v>32</v>
      </c>
      <c r="L11" s="14"/>
    </row>
    <row r="12" spans="1:12" x14ac:dyDescent="0.35">
      <c r="A12" t="s">
        <v>36</v>
      </c>
      <c r="B12" s="6" t="s">
        <v>354</v>
      </c>
      <c r="C12" s="8">
        <v>5003567912</v>
      </c>
      <c r="D12" s="7">
        <v>44944</v>
      </c>
      <c r="E12">
        <v>5116667557</v>
      </c>
      <c r="F12" s="9">
        <v>68.34</v>
      </c>
      <c r="G12" s="10">
        <v>34</v>
      </c>
      <c r="H12" s="9">
        <v>2.0100000000000002</v>
      </c>
      <c r="I12" t="s">
        <v>399</v>
      </c>
      <c r="J12" t="s">
        <v>37</v>
      </c>
      <c r="L12" s="14"/>
    </row>
    <row r="13" spans="1:12" x14ac:dyDescent="0.35">
      <c r="A13" t="s">
        <v>38</v>
      </c>
      <c r="B13" s="6" t="s">
        <v>354</v>
      </c>
      <c r="C13" s="8">
        <v>5003573839</v>
      </c>
      <c r="D13" s="7">
        <v>44944</v>
      </c>
      <c r="E13">
        <v>5116667558</v>
      </c>
      <c r="F13" s="9">
        <v>157.6</v>
      </c>
      <c r="G13" s="10">
        <v>16</v>
      </c>
      <c r="H13" s="9">
        <v>9.85</v>
      </c>
      <c r="I13" t="s">
        <v>399</v>
      </c>
      <c r="J13" t="s">
        <v>29</v>
      </c>
      <c r="L13" s="14"/>
    </row>
    <row r="14" spans="1:12" x14ac:dyDescent="0.35">
      <c r="A14" t="s">
        <v>39</v>
      </c>
      <c r="B14" s="6" t="s">
        <v>354</v>
      </c>
      <c r="C14" s="8">
        <v>5003605724</v>
      </c>
      <c r="D14" s="7">
        <v>44944</v>
      </c>
      <c r="E14">
        <v>5116667560</v>
      </c>
      <c r="F14" s="9">
        <v>2716</v>
      </c>
      <c r="G14" s="10">
        <v>400</v>
      </c>
      <c r="H14" s="9">
        <v>6.79</v>
      </c>
      <c r="I14" t="s">
        <v>399</v>
      </c>
      <c r="J14" t="s">
        <v>14</v>
      </c>
      <c r="L14" s="14"/>
    </row>
    <row r="15" spans="1:12" x14ac:dyDescent="0.35">
      <c r="A15" t="s">
        <v>40</v>
      </c>
      <c r="B15" s="6" t="s">
        <v>354</v>
      </c>
      <c r="C15" s="8">
        <v>5003607728</v>
      </c>
      <c r="D15" s="7">
        <v>44944</v>
      </c>
      <c r="E15">
        <v>5116667561</v>
      </c>
      <c r="F15" s="9">
        <v>239.33</v>
      </c>
      <c r="G15" s="10">
        <v>13</v>
      </c>
      <c r="H15" s="9">
        <v>18.41</v>
      </c>
      <c r="I15" t="s">
        <v>399</v>
      </c>
      <c r="J15" t="s">
        <v>23</v>
      </c>
      <c r="L15" s="14"/>
    </row>
    <row r="16" spans="1:12" x14ac:dyDescent="0.35">
      <c r="A16" t="s">
        <v>41</v>
      </c>
      <c r="B16" s="6" t="s">
        <v>352</v>
      </c>
      <c r="C16" s="8">
        <v>5003613512</v>
      </c>
      <c r="D16" s="7">
        <v>44944</v>
      </c>
      <c r="E16">
        <v>5116667562</v>
      </c>
      <c r="F16" s="9">
        <v>499.24</v>
      </c>
      <c r="G16" s="10">
        <v>4</v>
      </c>
      <c r="H16" s="9">
        <v>124.81</v>
      </c>
      <c r="I16" t="s">
        <v>399</v>
      </c>
      <c r="J16">
        <v>6</v>
      </c>
      <c r="L16" s="14"/>
    </row>
    <row r="17" spans="1:12" x14ac:dyDescent="0.35">
      <c r="A17" t="s">
        <v>42</v>
      </c>
      <c r="B17" s="6" t="s">
        <v>352</v>
      </c>
      <c r="C17" s="8">
        <v>5003620754</v>
      </c>
      <c r="D17" s="7">
        <v>44944</v>
      </c>
      <c r="E17">
        <v>5116667563</v>
      </c>
      <c r="F17" s="9">
        <v>405</v>
      </c>
      <c r="G17" s="10">
        <v>1</v>
      </c>
      <c r="H17" s="9">
        <v>405</v>
      </c>
      <c r="I17" t="s">
        <v>399</v>
      </c>
      <c r="J17" t="s">
        <v>43</v>
      </c>
      <c r="L17" s="14"/>
    </row>
    <row r="18" spans="1:12" x14ac:dyDescent="0.35">
      <c r="A18" t="s">
        <v>44</v>
      </c>
      <c r="B18" s="6" t="s">
        <v>352</v>
      </c>
      <c r="C18" s="8">
        <v>5003621815</v>
      </c>
      <c r="D18" s="7">
        <v>44944</v>
      </c>
      <c r="E18">
        <v>5116667564</v>
      </c>
      <c r="F18" s="9">
        <v>1532.86</v>
      </c>
      <c r="G18" s="10">
        <v>14</v>
      </c>
      <c r="H18" s="9">
        <v>109.49</v>
      </c>
      <c r="I18" t="s">
        <v>399</v>
      </c>
      <c r="J18" t="s">
        <v>45</v>
      </c>
      <c r="L18" s="14"/>
    </row>
    <row r="19" spans="1:12" x14ac:dyDescent="0.35">
      <c r="A19" t="s">
        <v>46</v>
      </c>
      <c r="B19" s="6" t="s">
        <v>352</v>
      </c>
      <c r="C19" s="8">
        <v>5003623538</v>
      </c>
      <c r="D19" s="7">
        <v>44944</v>
      </c>
      <c r="E19">
        <v>5116667565</v>
      </c>
      <c r="F19" s="9">
        <v>1756.92</v>
      </c>
      <c r="G19" s="10">
        <v>12</v>
      </c>
      <c r="H19" s="9">
        <v>146.41</v>
      </c>
      <c r="I19" t="s">
        <v>399</v>
      </c>
      <c r="J19" t="s">
        <v>47</v>
      </c>
      <c r="L19" s="14"/>
    </row>
    <row r="20" spans="1:12" x14ac:dyDescent="0.35">
      <c r="A20" t="s">
        <v>51</v>
      </c>
      <c r="B20" s="6" t="s">
        <v>356</v>
      </c>
      <c r="C20" s="8">
        <v>5003507920</v>
      </c>
      <c r="D20" s="7">
        <v>44944</v>
      </c>
      <c r="E20">
        <v>5116667590</v>
      </c>
      <c r="F20" s="9">
        <v>90531.92</v>
      </c>
      <c r="G20" s="10">
        <v>8</v>
      </c>
      <c r="H20" s="9">
        <v>11316.49</v>
      </c>
      <c r="I20" t="s">
        <v>399</v>
      </c>
      <c r="J20" t="s">
        <v>53</v>
      </c>
      <c r="L20" s="14"/>
    </row>
    <row r="21" spans="1:12" x14ac:dyDescent="0.35">
      <c r="A21" t="s">
        <v>54</v>
      </c>
      <c r="B21" s="6" t="s">
        <v>356</v>
      </c>
      <c r="C21" s="8">
        <v>5003507939</v>
      </c>
      <c r="D21" s="7">
        <v>44944</v>
      </c>
      <c r="E21">
        <v>5116667591</v>
      </c>
      <c r="F21" s="9">
        <v>22632.98</v>
      </c>
      <c r="G21" s="10">
        <v>2</v>
      </c>
      <c r="H21" s="9">
        <v>11316.49</v>
      </c>
      <c r="I21" t="s">
        <v>399</v>
      </c>
      <c r="J21" t="s">
        <v>55</v>
      </c>
      <c r="L21" s="14"/>
    </row>
    <row r="22" spans="1:12" x14ac:dyDescent="0.35">
      <c r="A22" t="s">
        <v>56</v>
      </c>
      <c r="B22" s="6" t="s">
        <v>357</v>
      </c>
      <c r="C22" s="8">
        <v>5003611200</v>
      </c>
      <c r="D22" s="7">
        <v>44944</v>
      </c>
      <c r="E22">
        <v>5116667592</v>
      </c>
      <c r="F22" s="9">
        <v>25513.3</v>
      </c>
      <c r="G22" s="10">
        <v>10</v>
      </c>
      <c r="H22" s="9">
        <v>2551.33</v>
      </c>
      <c r="I22" t="s">
        <v>399</v>
      </c>
      <c r="J22" t="s">
        <v>58</v>
      </c>
      <c r="L22" s="14"/>
    </row>
    <row r="23" spans="1:12" x14ac:dyDescent="0.35">
      <c r="A23" t="s">
        <v>59</v>
      </c>
      <c r="B23" s="6" t="s">
        <v>358</v>
      </c>
      <c r="C23" s="8">
        <v>5003614551</v>
      </c>
      <c r="D23" s="7">
        <v>44943</v>
      </c>
      <c r="E23">
        <v>5116667593</v>
      </c>
      <c r="F23" s="9">
        <v>22780.799999999999</v>
      </c>
      <c r="G23" s="10">
        <v>40</v>
      </c>
      <c r="H23" s="9">
        <v>569.52</v>
      </c>
      <c r="I23" t="s">
        <v>399</v>
      </c>
      <c r="J23" t="s">
        <v>61</v>
      </c>
      <c r="L23" s="14"/>
    </row>
    <row r="24" spans="1:12" x14ac:dyDescent="0.35">
      <c r="A24" t="s">
        <v>62</v>
      </c>
      <c r="B24" s="6" t="s">
        <v>358</v>
      </c>
      <c r="C24" s="8">
        <v>5003614579</v>
      </c>
      <c r="D24" s="7">
        <v>44943</v>
      </c>
      <c r="E24">
        <v>5116667594</v>
      </c>
      <c r="F24" s="9">
        <v>25535.599999999999</v>
      </c>
      <c r="G24" s="10">
        <v>10</v>
      </c>
      <c r="H24" s="9">
        <v>2553.56</v>
      </c>
      <c r="I24" t="s">
        <v>399</v>
      </c>
      <c r="J24" t="s">
        <v>63</v>
      </c>
      <c r="L24" s="14"/>
    </row>
    <row r="25" spans="1:12" x14ac:dyDescent="0.35">
      <c r="A25" t="s">
        <v>64</v>
      </c>
      <c r="B25" s="6" t="s">
        <v>359</v>
      </c>
      <c r="C25" s="8">
        <v>5003631185</v>
      </c>
      <c r="D25" s="7">
        <v>44943</v>
      </c>
      <c r="E25">
        <v>5116667595</v>
      </c>
      <c r="F25" s="9">
        <v>14340.6</v>
      </c>
      <c r="G25" s="10">
        <v>12</v>
      </c>
      <c r="H25" s="9">
        <v>1195.05</v>
      </c>
      <c r="I25" t="s">
        <v>399</v>
      </c>
      <c r="J25" t="s">
        <v>66</v>
      </c>
      <c r="L25" s="14"/>
    </row>
    <row r="26" spans="1:12" x14ac:dyDescent="0.35">
      <c r="A26" t="s">
        <v>67</v>
      </c>
      <c r="B26" s="6" t="s">
        <v>360</v>
      </c>
      <c r="C26" s="8">
        <v>5003634382</v>
      </c>
      <c r="D26" s="7">
        <v>44943</v>
      </c>
      <c r="E26">
        <v>5116667567</v>
      </c>
      <c r="F26" s="9">
        <v>571.79999999999995</v>
      </c>
      <c r="G26" s="10">
        <v>20</v>
      </c>
      <c r="H26" s="9">
        <v>28.589999999999996</v>
      </c>
      <c r="I26" t="s">
        <v>399</v>
      </c>
      <c r="J26" t="s">
        <v>69</v>
      </c>
      <c r="L26" s="14"/>
    </row>
    <row r="27" spans="1:12" x14ac:dyDescent="0.35">
      <c r="A27" t="s">
        <v>70</v>
      </c>
      <c r="B27" s="6" t="s">
        <v>352</v>
      </c>
      <c r="C27" s="8">
        <v>5003553241</v>
      </c>
      <c r="D27" s="7">
        <v>44944</v>
      </c>
      <c r="E27">
        <v>5116667555</v>
      </c>
      <c r="F27" s="9">
        <v>214.92</v>
      </c>
      <c r="G27" s="10">
        <v>1</v>
      </c>
      <c r="H27" s="9">
        <v>214.92</v>
      </c>
      <c r="I27" t="s">
        <v>399</v>
      </c>
      <c r="J27" t="s">
        <v>71</v>
      </c>
      <c r="L27" s="14"/>
    </row>
    <row r="28" spans="1:12" x14ac:dyDescent="0.35">
      <c r="A28" t="s">
        <v>72</v>
      </c>
      <c r="B28" s="6" t="s">
        <v>352</v>
      </c>
      <c r="C28" s="8">
        <v>5003590640</v>
      </c>
      <c r="D28" s="7">
        <v>44944</v>
      </c>
      <c r="E28">
        <v>5116667559</v>
      </c>
      <c r="F28" s="9">
        <v>222.8</v>
      </c>
      <c r="G28" s="10">
        <v>5</v>
      </c>
      <c r="H28" s="9">
        <v>44.56</v>
      </c>
      <c r="I28" t="s">
        <v>399</v>
      </c>
      <c r="J28" t="s">
        <v>73</v>
      </c>
      <c r="L28" s="14"/>
    </row>
    <row r="29" spans="1:12" x14ac:dyDescent="0.35">
      <c r="A29" t="s">
        <v>74</v>
      </c>
      <c r="B29" s="6" t="s">
        <v>361</v>
      </c>
      <c r="C29" s="8">
        <v>5003623596</v>
      </c>
      <c r="D29" s="7">
        <v>44944</v>
      </c>
      <c r="E29">
        <v>5116667566</v>
      </c>
      <c r="F29" s="9">
        <v>318.02999999999997</v>
      </c>
      <c r="G29" s="10">
        <v>3</v>
      </c>
      <c r="H29" s="9">
        <v>106.00999999999999</v>
      </c>
      <c r="I29" t="s">
        <v>399</v>
      </c>
      <c r="J29" t="s">
        <v>76</v>
      </c>
      <c r="L29" s="14"/>
    </row>
    <row r="30" spans="1:12" x14ac:dyDescent="0.35">
      <c r="A30" t="s">
        <v>80</v>
      </c>
      <c r="B30" s="6" t="s">
        <v>362</v>
      </c>
      <c r="C30" s="8">
        <v>2351641181</v>
      </c>
      <c r="D30" s="7">
        <v>44944</v>
      </c>
      <c r="E30">
        <v>5116667953</v>
      </c>
      <c r="F30" s="9">
        <v>5.7</v>
      </c>
      <c r="G30" s="10">
        <v>30</v>
      </c>
      <c r="H30" s="9">
        <v>0.19</v>
      </c>
      <c r="I30" t="s">
        <v>399</v>
      </c>
      <c r="J30" t="s">
        <v>82</v>
      </c>
      <c r="L30" s="14"/>
    </row>
    <row r="31" spans="1:12" x14ac:dyDescent="0.35">
      <c r="A31" t="s">
        <v>83</v>
      </c>
      <c r="B31" s="6" t="s">
        <v>362</v>
      </c>
      <c r="C31" s="8">
        <v>2351648296</v>
      </c>
      <c r="D31" s="7">
        <v>44944</v>
      </c>
      <c r="E31">
        <v>5116667955</v>
      </c>
      <c r="F31" s="9">
        <v>24.3</v>
      </c>
      <c r="G31" s="10">
        <v>27</v>
      </c>
      <c r="H31" s="9">
        <v>0.9</v>
      </c>
      <c r="I31" t="s">
        <v>399</v>
      </c>
      <c r="J31" t="s">
        <v>84</v>
      </c>
      <c r="L31" s="14"/>
    </row>
    <row r="32" spans="1:12" x14ac:dyDescent="0.35">
      <c r="A32" t="s">
        <v>91</v>
      </c>
      <c r="B32" s="6" t="s">
        <v>363</v>
      </c>
      <c r="C32" s="8">
        <v>2351667069</v>
      </c>
      <c r="D32" s="7">
        <v>44944</v>
      </c>
      <c r="E32">
        <v>5116667958</v>
      </c>
      <c r="F32" s="9">
        <v>4425.6899999999996</v>
      </c>
      <c r="G32" s="10">
        <v>29</v>
      </c>
      <c r="H32" s="9">
        <v>152.60999999999999</v>
      </c>
      <c r="I32" t="s">
        <v>399</v>
      </c>
      <c r="J32" t="s">
        <v>93</v>
      </c>
      <c r="L32" s="14"/>
    </row>
    <row r="33" spans="1:12" x14ac:dyDescent="0.35">
      <c r="A33" t="s">
        <v>96</v>
      </c>
      <c r="B33" s="6" t="s">
        <v>362</v>
      </c>
      <c r="C33" s="8">
        <v>2351676430</v>
      </c>
      <c r="D33" s="7">
        <v>44944</v>
      </c>
      <c r="E33">
        <v>5116667960</v>
      </c>
      <c r="F33" s="9">
        <v>88.48</v>
      </c>
      <c r="G33" s="10">
        <v>7</v>
      </c>
      <c r="H33" s="9">
        <v>12.64</v>
      </c>
      <c r="I33" t="s">
        <v>399</v>
      </c>
      <c r="J33" t="s">
        <v>97</v>
      </c>
      <c r="L33" s="14"/>
    </row>
    <row r="34" spans="1:12" x14ac:dyDescent="0.35">
      <c r="A34" t="s">
        <v>98</v>
      </c>
      <c r="B34" s="6" t="s">
        <v>364</v>
      </c>
      <c r="C34" s="8">
        <v>2351632982</v>
      </c>
      <c r="D34" s="7">
        <v>44944</v>
      </c>
      <c r="E34">
        <v>5116667950</v>
      </c>
      <c r="F34" s="9">
        <v>513.24</v>
      </c>
      <c r="G34" s="10">
        <v>1</v>
      </c>
      <c r="H34" s="9">
        <v>513.24</v>
      </c>
      <c r="I34" t="s">
        <v>399</v>
      </c>
      <c r="J34" t="s">
        <v>100</v>
      </c>
      <c r="L34" s="14"/>
    </row>
    <row r="35" spans="1:12" x14ac:dyDescent="0.35">
      <c r="A35" t="s">
        <v>101</v>
      </c>
      <c r="B35" s="6" t="s">
        <v>364</v>
      </c>
      <c r="C35" s="8">
        <v>2351636021</v>
      </c>
      <c r="D35" s="7">
        <v>44944</v>
      </c>
      <c r="E35">
        <v>5116667951</v>
      </c>
      <c r="F35" s="9">
        <v>1539.72</v>
      </c>
      <c r="G35" s="10">
        <v>3</v>
      </c>
      <c r="H35" s="9">
        <v>513.24</v>
      </c>
      <c r="I35" t="s">
        <v>399</v>
      </c>
      <c r="J35" t="s">
        <v>100</v>
      </c>
      <c r="L35" s="14"/>
    </row>
    <row r="36" spans="1:12" x14ac:dyDescent="0.35">
      <c r="A36" t="s">
        <v>102</v>
      </c>
      <c r="B36" s="6" t="s">
        <v>364</v>
      </c>
      <c r="C36" s="8">
        <v>2351647844</v>
      </c>
      <c r="D36" s="7">
        <v>44944</v>
      </c>
      <c r="E36">
        <v>5116667954</v>
      </c>
      <c r="F36" s="9">
        <v>2052.96</v>
      </c>
      <c r="G36" s="10">
        <v>4</v>
      </c>
      <c r="H36" s="9">
        <v>513.24</v>
      </c>
      <c r="I36" t="s">
        <v>399</v>
      </c>
      <c r="J36" t="s">
        <v>100</v>
      </c>
      <c r="L36" s="14"/>
    </row>
    <row r="37" spans="1:12" x14ac:dyDescent="0.35">
      <c r="A37" t="s">
        <v>103</v>
      </c>
      <c r="B37" s="6" t="s">
        <v>365</v>
      </c>
      <c r="C37" s="8">
        <v>5003606166</v>
      </c>
      <c r="D37" s="7">
        <v>44939</v>
      </c>
      <c r="E37">
        <v>5116654219</v>
      </c>
      <c r="F37" s="9">
        <v>74999.520000000004</v>
      </c>
      <c r="G37" s="10">
        <v>54</v>
      </c>
      <c r="H37" s="9">
        <v>1388.88</v>
      </c>
      <c r="I37" t="s">
        <v>399</v>
      </c>
      <c r="J37" t="s">
        <v>105</v>
      </c>
      <c r="L37" s="14"/>
    </row>
    <row r="38" spans="1:12" x14ac:dyDescent="0.35">
      <c r="A38" t="s">
        <v>106</v>
      </c>
      <c r="B38" s="6" t="s">
        <v>366</v>
      </c>
      <c r="C38" s="8">
        <v>5003613845</v>
      </c>
      <c r="D38" s="7">
        <v>44939</v>
      </c>
      <c r="E38">
        <v>5116654219</v>
      </c>
      <c r="F38" s="9">
        <v>318.36</v>
      </c>
      <c r="G38" s="10">
        <v>7</v>
      </c>
      <c r="H38" s="9">
        <v>45.480000000000004</v>
      </c>
      <c r="I38" t="s">
        <v>399</v>
      </c>
      <c r="J38" t="s">
        <v>108</v>
      </c>
      <c r="L38" s="14"/>
    </row>
    <row r="39" spans="1:12" x14ac:dyDescent="0.35">
      <c r="A39" t="s">
        <v>109</v>
      </c>
      <c r="B39" s="6" t="s">
        <v>367</v>
      </c>
      <c r="C39" s="8">
        <v>5003618574</v>
      </c>
      <c r="D39" s="7">
        <v>44939</v>
      </c>
      <c r="E39">
        <v>5116654219</v>
      </c>
      <c r="F39" s="9">
        <v>29632.18</v>
      </c>
      <c r="G39" s="10">
        <v>157</v>
      </c>
      <c r="H39" s="9">
        <v>188.74</v>
      </c>
      <c r="I39" t="s">
        <v>399</v>
      </c>
      <c r="J39" t="s">
        <v>111</v>
      </c>
      <c r="L39" s="14"/>
    </row>
    <row r="40" spans="1:12" x14ac:dyDescent="0.35">
      <c r="A40" t="s">
        <v>112</v>
      </c>
      <c r="B40" s="6" t="s">
        <v>368</v>
      </c>
      <c r="C40" s="8">
        <v>5003618574</v>
      </c>
      <c r="D40" s="7">
        <v>44939</v>
      </c>
      <c r="E40">
        <v>5116654219</v>
      </c>
      <c r="F40" s="9">
        <v>12271.8</v>
      </c>
      <c r="G40" s="10">
        <v>60</v>
      </c>
      <c r="H40" s="9">
        <v>204.53</v>
      </c>
      <c r="I40" t="s">
        <v>399</v>
      </c>
      <c r="J40" t="s">
        <v>114</v>
      </c>
      <c r="L40" s="14"/>
    </row>
    <row r="41" spans="1:12" x14ac:dyDescent="0.35">
      <c r="A41" t="s">
        <v>115</v>
      </c>
      <c r="B41" s="6" t="s">
        <v>368</v>
      </c>
      <c r="C41" s="8">
        <v>5003619201</v>
      </c>
      <c r="D41" s="7">
        <v>44939</v>
      </c>
      <c r="E41">
        <v>5116654219</v>
      </c>
      <c r="F41" s="9">
        <v>17980.080000000002</v>
      </c>
      <c r="G41" s="10">
        <v>228</v>
      </c>
      <c r="H41" s="9">
        <v>78.860000000000014</v>
      </c>
      <c r="I41" t="s">
        <v>399</v>
      </c>
      <c r="J41" t="s">
        <v>116</v>
      </c>
      <c r="L41" s="14"/>
    </row>
    <row r="42" spans="1:12" x14ac:dyDescent="0.35">
      <c r="A42" t="s">
        <v>117</v>
      </c>
      <c r="B42" s="6" t="s">
        <v>366</v>
      </c>
      <c r="C42" s="8">
        <v>5003620622</v>
      </c>
      <c r="D42" s="7">
        <v>44939</v>
      </c>
      <c r="E42">
        <v>5116654219</v>
      </c>
      <c r="F42" s="9">
        <v>168.54</v>
      </c>
      <c r="G42" s="10">
        <v>3</v>
      </c>
      <c r="H42" s="9">
        <v>56.18</v>
      </c>
      <c r="I42" t="s">
        <v>399</v>
      </c>
      <c r="J42" t="s">
        <v>118</v>
      </c>
      <c r="L42" s="14"/>
    </row>
    <row r="43" spans="1:12" x14ac:dyDescent="0.35">
      <c r="A43" t="s">
        <v>119</v>
      </c>
      <c r="B43" s="6" t="s">
        <v>366</v>
      </c>
      <c r="C43" s="8">
        <v>5003620622</v>
      </c>
      <c r="D43" s="7">
        <v>44939</v>
      </c>
      <c r="E43">
        <v>5116654219</v>
      </c>
      <c r="F43" s="9">
        <v>58.72</v>
      </c>
      <c r="G43" s="10">
        <v>1</v>
      </c>
      <c r="H43" s="9">
        <v>58.72</v>
      </c>
      <c r="I43" t="s">
        <v>399</v>
      </c>
      <c r="J43" t="s">
        <v>120</v>
      </c>
      <c r="L43" s="14"/>
    </row>
    <row r="44" spans="1:12" x14ac:dyDescent="0.35">
      <c r="A44" t="s">
        <v>121</v>
      </c>
      <c r="B44" s="6" t="s">
        <v>366</v>
      </c>
      <c r="C44" s="8">
        <v>5003620622</v>
      </c>
      <c r="D44" s="7">
        <v>44939</v>
      </c>
      <c r="E44">
        <v>5116654219</v>
      </c>
      <c r="F44" s="9">
        <v>100.94</v>
      </c>
      <c r="G44" s="10">
        <v>2</v>
      </c>
      <c r="H44" s="9">
        <v>50.47</v>
      </c>
      <c r="I44" t="s">
        <v>399</v>
      </c>
      <c r="J44" t="s">
        <v>122</v>
      </c>
      <c r="L44" s="14"/>
    </row>
    <row r="45" spans="1:12" x14ac:dyDescent="0.35">
      <c r="A45" t="s">
        <v>123</v>
      </c>
      <c r="B45" s="6" t="s">
        <v>366</v>
      </c>
      <c r="C45" s="8">
        <v>5003620622</v>
      </c>
      <c r="D45" s="7">
        <v>44939</v>
      </c>
      <c r="E45">
        <v>5116654219</v>
      </c>
      <c r="F45" s="9">
        <v>338.48</v>
      </c>
      <c r="G45" s="10">
        <v>2</v>
      </c>
      <c r="H45" s="9">
        <v>169.24</v>
      </c>
      <c r="I45" t="s">
        <v>399</v>
      </c>
      <c r="J45" t="s">
        <v>124</v>
      </c>
      <c r="L45" s="14"/>
    </row>
    <row r="46" spans="1:12" x14ac:dyDescent="0.35">
      <c r="A46" t="s">
        <v>125</v>
      </c>
      <c r="B46" s="6" t="s">
        <v>366</v>
      </c>
      <c r="C46" s="8">
        <v>5003620622</v>
      </c>
      <c r="D46" s="7">
        <v>44939</v>
      </c>
      <c r="E46">
        <v>5116654219</v>
      </c>
      <c r="F46" s="9">
        <v>415.12</v>
      </c>
      <c r="G46" s="10">
        <v>2</v>
      </c>
      <c r="H46" s="9">
        <v>207.56</v>
      </c>
      <c r="I46" t="s">
        <v>399</v>
      </c>
      <c r="J46" t="s">
        <v>126</v>
      </c>
      <c r="L46" s="14"/>
    </row>
    <row r="47" spans="1:12" x14ac:dyDescent="0.35">
      <c r="A47" t="s">
        <v>127</v>
      </c>
      <c r="B47" s="6" t="s">
        <v>366</v>
      </c>
      <c r="C47" s="8">
        <v>5003620622</v>
      </c>
      <c r="D47" s="7">
        <v>44939</v>
      </c>
      <c r="E47">
        <v>5116654219</v>
      </c>
      <c r="F47" s="9">
        <v>23.98</v>
      </c>
      <c r="G47" s="10">
        <v>1</v>
      </c>
      <c r="H47" s="9">
        <v>23.98</v>
      </c>
      <c r="I47" t="s">
        <v>399</v>
      </c>
      <c r="J47" t="s">
        <v>128</v>
      </c>
      <c r="L47" s="14"/>
    </row>
    <row r="48" spans="1:12" x14ac:dyDescent="0.35">
      <c r="A48" t="s">
        <v>129</v>
      </c>
      <c r="B48" s="6" t="s">
        <v>366</v>
      </c>
      <c r="C48" s="8">
        <v>5003620622</v>
      </c>
      <c r="D48" s="7">
        <v>44939</v>
      </c>
      <c r="E48">
        <v>5116654219</v>
      </c>
      <c r="F48" s="9">
        <v>43.98</v>
      </c>
      <c r="G48" s="10">
        <v>1</v>
      </c>
      <c r="H48" s="9">
        <v>43.98</v>
      </c>
      <c r="I48" t="s">
        <v>399</v>
      </c>
      <c r="J48" t="s">
        <v>130</v>
      </c>
      <c r="L48" s="14"/>
    </row>
    <row r="49" spans="1:12" x14ac:dyDescent="0.35">
      <c r="A49" t="s">
        <v>131</v>
      </c>
      <c r="B49" s="6" t="s">
        <v>366</v>
      </c>
      <c r="C49" s="8">
        <v>5003620622</v>
      </c>
      <c r="D49" s="7">
        <v>44939</v>
      </c>
      <c r="E49">
        <v>5116654219</v>
      </c>
      <c r="F49" s="9">
        <v>28.28</v>
      </c>
      <c r="G49" s="10">
        <v>1</v>
      </c>
      <c r="H49" s="9">
        <v>28.28</v>
      </c>
      <c r="I49" t="s">
        <v>399</v>
      </c>
      <c r="J49" t="s">
        <v>132</v>
      </c>
      <c r="L49" s="14"/>
    </row>
    <row r="50" spans="1:12" x14ac:dyDescent="0.35">
      <c r="A50" t="s">
        <v>133</v>
      </c>
      <c r="B50" s="6" t="s">
        <v>366</v>
      </c>
      <c r="C50" s="8">
        <v>5003620622</v>
      </c>
      <c r="D50" s="7">
        <v>44939</v>
      </c>
      <c r="E50">
        <v>5116654219</v>
      </c>
      <c r="F50" s="9">
        <v>156.9</v>
      </c>
      <c r="G50" s="10">
        <v>2</v>
      </c>
      <c r="H50" s="9">
        <v>78.45</v>
      </c>
      <c r="I50" t="s">
        <v>399</v>
      </c>
      <c r="J50" t="s">
        <v>116</v>
      </c>
      <c r="L50" s="14"/>
    </row>
    <row r="51" spans="1:12" x14ac:dyDescent="0.35">
      <c r="A51" t="s">
        <v>134</v>
      </c>
      <c r="B51" s="6" t="s">
        <v>366</v>
      </c>
      <c r="C51" s="8">
        <v>5003620622</v>
      </c>
      <c r="D51" s="7">
        <v>44939</v>
      </c>
      <c r="E51">
        <v>5116654219</v>
      </c>
      <c r="F51" s="9">
        <v>613.65</v>
      </c>
      <c r="G51" s="10">
        <v>3</v>
      </c>
      <c r="H51" s="9">
        <v>204.54999999999998</v>
      </c>
      <c r="I51" t="s">
        <v>399</v>
      </c>
      <c r="J51" t="s">
        <v>114</v>
      </c>
      <c r="L51" s="14"/>
    </row>
    <row r="52" spans="1:12" x14ac:dyDescent="0.35">
      <c r="A52" t="s">
        <v>135</v>
      </c>
      <c r="B52" s="6" t="s">
        <v>366</v>
      </c>
      <c r="C52" s="8">
        <v>5003620622</v>
      </c>
      <c r="D52" s="7">
        <v>44939</v>
      </c>
      <c r="E52">
        <v>5116654219</v>
      </c>
      <c r="F52" s="9">
        <v>93.4</v>
      </c>
      <c r="G52" s="10">
        <v>1</v>
      </c>
      <c r="H52" s="9">
        <v>93.4</v>
      </c>
      <c r="I52" t="s">
        <v>399</v>
      </c>
      <c r="J52" t="s">
        <v>45</v>
      </c>
      <c r="L52" s="14"/>
    </row>
    <row r="53" spans="1:12" x14ac:dyDescent="0.35">
      <c r="A53" t="s">
        <v>136</v>
      </c>
      <c r="B53" s="6" t="s">
        <v>366</v>
      </c>
      <c r="C53" s="8">
        <v>5003620622</v>
      </c>
      <c r="D53" s="7">
        <v>44939</v>
      </c>
      <c r="E53">
        <v>5116654219</v>
      </c>
      <c r="F53" s="9">
        <v>24.72</v>
      </c>
      <c r="G53" s="10">
        <v>2</v>
      </c>
      <c r="H53" s="9">
        <v>12.36</v>
      </c>
      <c r="I53" t="s">
        <v>399</v>
      </c>
      <c r="J53" t="s">
        <v>137</v>
      </c>
      <c r="L53" s="14"/>
    </row>
    <row r="54" spans="1:12" x14ac:dyDescent="0.35">
      <c r="A54" t="s">
        <v>138</v>
      </c>
      <c r="B54" s="6" t="s">
        <v>366</v>
      </c>
      <c r="C54" s="8">
        <v>5003620622</v>
      </c>
      <c r="D54" s="7">
        <v>44939</v>
      </c>
      <c r="E54">
        <v>5116654219</v>
      </c>
      <c r="F54" s="9">
        <v>5.48</v>
      </c>
      <c r="G54" s="10">
        <v>1</v>
      </c>
      <c r="H54" s="9">
        <v>5.48</v>
      </c>
      <c r="I54" t="s">
        <v>399</v>
      </c>
      <c r="J54" t="s">
        <v>139</v>
      </c>
      <c r="L54" s="14"/>
    </row>
    <row r="55" spans="1:12" x14ac:dyDescent="0.35">
      <c r="A55" t="s">
        <v>140</v>
      </c>
      <c r="B55" s="6" t="s">
        <v>366</v>
      </c>
      <c r="C55" s="8">
        <v>5003620622</v>
      </c>
      <c r="D55" s="7">
        <v>44939</v>
      </c>
      <c r="E55">
        <v>5116654219</v>
      </c>
      <c r="F55" s="9">
        <v>23.48</v>
      </c>
      <c r="G55" s="10">
        <v>2</v>
      </c>
      <c r="H55" s="9">
        <v>11.74</v>
      </c>
      <c r="I55" t="s">
        <v>399</v>
      </c>
      <c r="J55" t="s">
        <v>141</v>
      </c>
      <c r="L55" s="14"/>
    </row>
    <row r="56" spans="1:12" x14ac:dyDescent="0.35">
      <c r="A56" t="s">
        <v>142</v>
      </c>
      <c r="B56" s="6" t="s">
        <v>366</v>
      </c>
      <c r="C56" s="8">
        <v>5003620622</v>
      </c>
      <c r="D56" s="7">
        <v>44939</v>
      </c>
      <c r="E56">
        <v>5116654219</v>
      </c>
      <c r="F56" s="9">
        <v>4.59</v>
      </c>
      <c r="G56" s="10">
        <v>1</v>
      </c>
      <c r="H56" s="9">
        <v>4.59</v>
      </c>
      <c r="I56" t="s">
        <v>399</v>
      </c>
      <c r="J56" t="s">
        <v>143</v>
      </c>
      <c r="L56" s="14"/>
    </row>
    <row r="57" spans="1:12" x14ac:dyDescent="0.35">
      <c r="A57" t="s">
        <v>144</v>
      </c>
      <c r="B57" s="6" t="s">
        <v>366</v>
      </c>
      <c r="C57" s="8">
        <v>5003620622</v>
      </c>
      <c r="D57" s="7">
        <v>44939</v>
      </c>
      <c r="E57">
        <v>5116654219</v>
      </c>
      <c r="F57" s="9">
        <v>11.01</v>
      </c>
      <c r="G57" s="10">
        <v>1</v>
      </c>
      <c r="H57" s="9">
        <v>11.01</v>
      </c>
      <c r="I57" t="s">
        <v>399</v>
      </c>
      <c r="J57" t="s">
        <v>145</v>
      </c>
      <c r="L57" s="14"/>
    </row>
    <row r="58" spans="1:12" x14ac:dyDescent="0.35">
      <c r="A58" t="s">
        <v>146</v>
      </c>
      <c r="B58" s="6" t="s">
        <v>366</v>
      </c>
      <c r="C58" s="8">
        <v>5003620622</v>
      </c>
      <c r="D58" s="7">
        <v>44939</v>
      </c>
      <c r="E58">
        <v>5116654219</v>
      </c>
      <c r="F58" s="9">
        <v>819.66</v>
      </c>
      <c r="G58" s="10">
        <v>3</v>
      </c>
      <c r="H58" s="9">
        <v>273.21999999999997</v>
      </c>
      <c r="I58" t="s">
        <v>399</v>
      </c>
      <c r="J58" t="s">
        <v>147</v>
      </c>
      <c r="L58" s="14"/>
    </row>
    <row r="59" spans="1:12" x14ac:dyDescent="0.35">
      <c r="A59" t="s">
        <v>148</v>
      </c>
      <c r="B59" s="6" t="s">
        <v>366</v>
      </c>
      <c r="C59" s="8">
        <v>5003620622</v>
      </c>
      <c r="D59" s="7">
        <v>44939</v>
      </c>
      <c r="E59">
        <v>5116654219</v>
      </c>
      <c r="F59" s="9">
        <v>40.369999999999997</v>
      </c>
      <c r="G59" s="10">
        <v>1</v>
      </c>
      <c r="H59" s="9">
        <v>40.369999999999997</v>
      </c>
      <c r="I59" t="s">
        <v>399</v>
      </c>
      <c r="J59" t="s">
        <v>149</v>
      </c>
      <c r="L59" s="14"/>
    </row>
    <row r="60" spans="1:12" x14ac:dyDescent="0.35">
      <c r="A60" t="s">
        <v>150</v>
      </c>
      <c r="B60" s="6" t="s">
        <v>366</v>
      </c>
      <c r="C60" s="8">
        <v>5003620622</v>
      </c>
      <c r="D60" s="7">
        <v>44939</v>
      </c>
      <c r="E60">
        <v>5116654219</v>
      </c>
      <c r="F60" s="9">
        <v>202.8</v>
      </c>
      <c r="G60" s="10">
        <v>5</v>
      </c>
      <c r="H60" s="9">
        <v>40.56</v>
      </c>
      <c r="I60" t="s">
        <v>399</v>
      </c>
      <c r="J60" t="s">
        <v>151</v>
      </c>
      <c r="L60" s="14"/>
    </row>
    <row r="61" spans="1:12" x14ac:dyDescent="0.35">
      <c r="A61" t="s">
        <v>152</v>
      </c>
      <c r="B61" s="6" t="s">
        <v>366</v>
      </c>
      <c r="C61" s="8">
        <v>5003620622</v>
      </c>
      <c r="D61" s="7">
        <v>44939</v>
      </c>
      <c r="E61">
        <v>5116654219</v>
      </c>
      <c r="F61" s="9">
        <v>595.66</v>
      </c>
      <c r="G61" s="10">
        <v>13</v>
      </c>
      <c r="H61" s="9">
        <v>45.82</v>
      </c>
      <c r="I61" t="s">
        <v>399</v>
      </c>
      <c r="J61" t="s">
        <v>149</v>
      </c>
      <c r="L61" s="14"/>
    </row>
    <row r="62" spans="1:12" x14ac:dyDescent="0.35">
      <c r="A62" t="s">
        <v>153</v>
      </c>
      <c r="B62" s="6" t="s">
        <v>369</v>
      </c>
      <c r="C62" s="8">
        <v>5003391662</v>
      </c>
      <c r="D62" s="7">
        <v>44938</v>
      </c>
      <c r="E62">
        <v>5116652061</v>
      </c>
      <c r="F62" s="9">
        <v>1947.3</v>
      </c>
      <c r="G62" s="10">
        <v>30</v>
      </c>
      <c r="H62" s="9">
        <v>64.91</v>
      </c>
      <c r="I62" t="s">
        <v>399</v>
      </c>
      <c r="J62" t="s">
        <v>155</v>
      </c>
      <c r="L62" s="14"/>
    </row>
    <row r="63" spans="1:12" x14ac:dyDescent="0.35">
      <c r="A63" t="s">
        <v>167</v>
      </c>
      <c r="B63" s="6" t="s">
        <v>371</v>
      </c>
      <c r="C63" s="8">
        <v>2351663396</v>
      </c>
      <c r="D63" s="7">
        <v>44939</v>
      </c>
      <c r="E63">
        <v>5116655653</v>
      </c>
      <c r="F63" s="9">
        <v>204.24</v>
      </c>
      <c r="G63" s="10">
        <v>12</v>
      </c>
      <c r="H63" s="9">
        <v>17.02</v>
      </c>
      <c r="I63" t="s">
        <v>399</v>
      </c>
      <c r="J63" t="s">
        <v>169</v>
      </c>
      <c r="L63" s="14"/>
    </row>
    <row r="64" spans="1:12" x14ac:dyDescent="0.35">
      <c r="A64" t="s">
        <v>170</v>
      </c>
      <c r="B64" s="6" t="s">
        <v>372</v>
      </c>
      <c r="C64" s="8">
        <v>2351668234</v>
      </c>
      <c r="D64" s="7">
        <v>44939</v>
      </c>
      <c r="E64">
        <v>5116655653</v>
      </c>
      <c r="F64" s="9">
        <v>2603.5</v>
      </c>
      <c r="G64" s="10">
        <v>10</v>
      </c>
      <c r="H64" s="9">
        <v>260.35000000000002</v>
      </c>
      <c r="I64" t="s">
        <v>399</v>
      </c>
      <c r="J64" t="s">
        <v>95</v>
      </c>
      <c r="L64" s="14"/>
    </row>
    <row r="65" spans="1:12" x14ac:dyDescent="0.35">
      <c r="A65" t="s">
        <v>172</v>
      </c>
      <c r="B65" s="6" t="s">
        <v>371</v>
      </c>
      <c r="C65" s="8">
        <v>2351675118</v>
      </c>
      <c r="D65" s="7">
        <v>44939</v>
      </c>
      <c r="E65">
        <v>5116655653</v>
      </c>
      <c r="F65" s="9">
        <v>302.5</v>
      </c>
      <c r="G65" s="10">
        <v>10</v>
      </c>
      <c r="H65" s="9">
        <v>30.25</v>
      </c>
      <c r="I65" t="s">
        <v>399</v>
      </c>
      <c r="J65" t="s">
        <v>173</v>
      </c>
      <c r="L65" s="14"/>
    </row>
    <row r="66" spans="1:12" x14ac:dyDescent="0.35">
      <c r="A66" t="s">
        <v>180</v>
      </c>
      <c r="B66" s="6" t="s">
        <v>374</v>
      </c>
      <c r="C66" s="8">
        <v>5003611213</v>
      </c>
      <c r="D66" s="7">
        <v>44942</v>
      </c>
      <c r="E66">
        <v>5116660347</v>
      </c>
      <c r="F66" s="9">
        <v>13881.37</v>
      </c>
      <c r="G66" s="10">
        <v>41</v>
      </c>
      <c r="H66" s="9">
        <v>338.57</v>
      </c>
      <c r="I66" t="s">
        <v>399</v>
      </c>
      <c r="J66" t="s">
        <v>182</v>
      </c>
      <c r="L66" s="14"/>
    </row>
    <row r="67" spans="1:12" x14ac:dyDescent="0.35">
      <c r="A67" t="s">
        <v>183</v>
      </c>
      <c r="B67" s="6" t="s">
        <v>374</v>
      </c>
      <c r="C67" s="8">
        <v>5003611224</v>
      </c>
      <c r="D67" s="7">
        <v>44942</v>
      </c>
      <c r="E67">
        <v>5116660347</v>
      </c>
      <c r="F67" s="9">
        <v>4778.3999999999996</v>
      </c>
      <c r="G67" s="10">
        <v>48</v>
      </c>
      <c r="H67" s="9">
        <v>99.55</v>
      </c>
      <c r="I67" t="s">
        <v>399</v>
      </c>
      <c r="J67" t="s">
        <v>184</v>
      </c>
      <c r="L67" s="14"/>
    </row>
    <row r="68" spans="1:12" x14ac:dyDescent="0.35">
      <c r="A68" t="s">
        <v>185</v>
      </c>
      <c r="B68" s="6" t="s">
        <v>374</v>
      </c>
      <c r="C68" s="8">
        <v>5003614304</v>
      </c>
      <c r="D68" s="7">
        <v>44942</v>
      </c>
      <c r="E68">
        <v>5116660347</v>
      </c>
      <c r="F68" s="9">
        <v>5742.36</v>
      </c>
      <c r="G68" s="10">
        <v>18</v>
      </c>
      <c r="H68" s="9">
        <v>319.02</v>
      </c>
      <c r="I68" t="s">
        <v>399</v>
      </c>
      <c r="J68" t="s">
        <v>186</v>
      </c>
      <c r="L68" s="14"/>
    </row>
    <row r="69" spans="1:12" x14ac:dyDescent="0.35">
      <c r="A69" t="s">
        <v>187</v>
      </c>
      <c r="B69" s="6" t="s">
        <v>375</v>
      </c>
      <c r="C69" s="8">
        <v>5003618561</v>
      </c>
      <c r="D69" s="7">
        <v>44942</v>
      </c>
      <c r="E69">
        <v>5116660347</v>
      </c>
      <c r="F69" s="9">
        <v>1787.1</v>
      </c>
      <c r="G69" s="10">
        <v>21</v>
      </c>
      <c r="H69" s="9">
        <v>85.1</v>
      </c>
      <c r="I69" t="s">
        <v>399</v>
      </c>
      <c r="J69" t="s">
        <v>189</v>
      </c>
      <c r="L69" s="14"/>
    </row>
    <row r="70" spans="1:12" x14ac:dyDescent="0.35">
      <c r="A70" t="s">
        <v>190</v>
      </c>
      <c r="B70" s="6" t="s">
        <v>375</v>
      </c>
      <c r="C70" s="8">
        <v>5003630470</v>
      </c>
      <c r="D70" s="7">
        <v>44942</v>
      </c>
      <c r="E70">
        <v>5116660347</v>
      </c>
      <c r="F70" s="9">
        <v>408.72</v>
      </c>
      <c r="G70" s="10">
        <v>4</v>
      </c>
      <c r="H70" s="9">
        <v>102.18</v>
      </c>
      <c r="I70" t="s">
        <v>399</v>
      </c>
      <c r="J70" t="s">
        <v>191</v>
      </c>
      <c r="L70" s="14"/>
    </row>
    <row r="71" spans="1:12" x14ac:dyDescent="0.35">
      <c r="A71" t="s">
        <v>192</v>
      </c>
      <c r="B71" s="6" t="s">
        <v>374</v>
      </c>
      <c r="C71" s="8">
        <v>5003640603</v>
      </c>
      <c r="D71" s="7">
        <v>44942</v>
      </c>
      <c r="E71">
        <v>5116660347</v>
      </c>
      <c r="F71" s="9">
        <v>13176.64</v>
      </c>
      <c r="G71" s="10">
        <v>32</v>
      </c>
      <c r="H71" s="9">
        <v>411.77</v>
      </c>
      <c r="I71" t="s">
        <v>399</v>
      </c>
      <c r="J71" t="s">
        <v>193</v>
      </c>
      <c r="L71" s="14"/>
    </row>
    <row r="72" spans="1:12" x14ac:dyDescent="0.35">
      <c r="A72" t="s">
        <v>194</v>
      </c>
      <c r="B72" s="6" t="s">
        <v>376</v>
      </c>
      <c r="C72" s="8">
        <v>5003642177</v>
      </c>
      <c r="D72" s="7">
        <v>44941</v>
      </c>
      <c r="E72">
        <v>5116660347</v>
      </c>
      <c r="F72" s="9">
        <v>1139.2</v>
      </c>
      <c r="G72" s="10">
        <v>10</v>
      </c>
      <c r="H72" s="9">
        <v>113.92</v>
      </c>
      <c r="I72" t="s">
        <v>399</v>
      </c>
      <c r="J72" t="s">
        <v>196</v>
      </c>
      <c r="L72" s="14"/>
    </row>
    <row r="73" spans="1:12" x14ac:dyDescent="0.35">
      <c r="A73" t="s">
        <v>197</v>
      </c>
      <c r="B73" s="6" t="s">
        <v>377</v>
      </c>
      <c r="C73" s="8">
        <v>5003618674</v>
      </c>
      <c r="D73" s="7">
        <v>44939</v>
      </c>
      <c r="E73">
        <v>5116655369</v>
      </c>
      <c r="F73" s="9">
        <v>315.44</v>
      </c>
      <c r="G73" s="10">
        <v>4</v>
      </c>
      <c r="H73" s="9">
        <v>78.86</v>
      </c>
      <c r="I73" t="s">
        <v>399</v>
      </c>
      <c r="J73" t="s">
        <v>199</v>
      </c>
      <c r="L73" s="14"/>
    </row>
    <row r="74" spans="1:12" x14ac:dyDescent="0.35">
      <c r="A74" t="s">
        <v>200</v>
      </c>
      <c r="B74" s="6" t="s">
        <v>378</v>
      </c>
      <c r="C74" s="8">
        <v>5003587373</v>
      </c>
      <c r="D74" s="7">
        <v>44939</v>
      </c>
      <c r="E74">
        <v>5116654978</v>
      </c>
      <c r="F74" s="9">
        <v>27.5</v>
      </c>
      <c r="G74" s="10">
        <v>2</v>
      </c>
      <c r="H74" s="9">
        <v>13.75</v>
      </c>
      <c r="I74" t="s">
        <v>399</v>
      </c>
      <c r="J74" t="s">
        <v>202</v>
      </c>
      <c r="L74" s="14"/>
    </row>
    <row r="75" spans="1:12" x14ac:dyDescent="0.35">
      <c r="A75" t="s">
        <v>206</v>
      </c>
      <c r="B75" s="6" t="s">
        <v>380</v>
      </c>
      <c r="C75" s="8">
        <v>5003642272</v>
      </c>
      <c r="D75" s="7">
        <v>44939</v>
      </c>
      <c r="E75">
        <v>5116655380</v>
      </c>
      <c r="F75" s="9">
        <v>497.75</v>
      </c>
      <c r="G75" s="10">
        <v>5</v>
      </c>
      <c r="H75" s="9">
        <v>99.55</v>
      </c>
      <c r="I75" t="s">
        <v>399</v>
      </c>
      <c r="J75" t="s">
        <v>184</v>
      </c>
      <c r="L75" s="14"/>
    </row>
    <row r="76" spans="1:12" x14ac:dyDescent="0.35">
      <c r="A76" t="s">
        <v>208</v>
      </c>
      <c r="B76" s="6" t="s">
        <v>381</v>
      </c>
      <c r="C76" s="8">
        <v>5003400860</v>
      </c>
      <c r="D76" s="7">
        <v>44943</v>
      </c>
      <c r="E76">
        <v>5116664073</v>
      </c>
      <c r="F76" s="9">
        <v>6391.14</v>
      </c>
      <c r="G76" s="10">
        <v>14</v>
      </c>
      <c r="H76" s="9">
        <v>456.51000000000005</v>
      </c>
      <c r="I76" t="s">
        <v>399</v>
      </c>
      <c r="J76" t="s">
        <v>210</v>
      </c>
      <c r="L76" s="14"/>
    </row>
    <row r="77" spans="1:12" x14ac:dyDescent="0.35">
      <c r="A77" t="s">
        <v>211</v>
      </c>
      <c r="B77" s="6" t="s">
        <v>354</v>
      </c>
      <c r="C77" s="8">
        <v>5003605724</v>
      </c>
      <c r="D77" s="7">
        <v>44943</v>
      </c>
      <c r="E77">
        <v>5116664183</v>
      </c>
      <c r="F77" s="9">
        <v>117.9</v>
      </c>
      <c r="G77" s="10">
        <v>30</v>
      </c>
      <c r="H77" s="9">
        <v>3.93</v>
      </c>
      <c r="I77" t="s">
        <v>399</v>
      </c>
      <c r="J77" t="s">
        <v>212</v>
      </c>
      <c r="L77" s="14"/>
    </row>
    <row r="78" spans="1:12" x14ac:dyDescent="0.35">
      <c r="A78" t="s">
        <v>213</v>
      </c>
      <c r="B78" s="6" t="s">
        <v>382</v>
      </c>
      <c r="C78" s="8">
        <v>5003614416</v>
      </c>
      <c r="D78" s="7">
        <v>44943</v>
      </c>
      <c r="E78">
        <v>5116664185</v>
      </c>
      <c r="F78" s="9">
        <v>25628.400000000001</v>
      </c>
      <c r="G78" s="10">
        <v>45</v>
      </c>
      <c r="H78" s="9">
        <v>569.52</v>
      </c>
      <c r="I78" t="s">
        <v>399</v>
      </c>
      <c r="J78" t="s">
        <v>61</v>
      </c>
      <c r="L78" s="14"/>
    </row>
    <row r="79" spans="1:12" x14ac:dyDescent="0.35">
      <c r="A79" t="s">
        <v>215</v>
      </c>
      <c r="B79" s="6" t="s">
        <v>383</v>
      </c>
      <c r="C79" s="8">
        <v>5003580407</v>
      </c>
      <c r="D79" s="7">
        <v>44942</v>
      </c>
      <c r="E79">
        <v>5116664192</v>
      </c>
      <c r="F79" s="9">
        <v>16.45</v>
      </c>
      <c r="G79" s="10">
        <v>1</v>
      </c>
      <c r="H79" s="9">
        <v>16.45</v>
      </c>
      <c r="I79" t="s">
        <v>399</v>
      </c>
      <c r="J79" t="s">
        <v>217</v>
      </c>
      <c r="L79" s="14"/>
    </row>
    <row r="80" spans="1:12" x14ac:dyDescent="0.35">
      <c r="A80" t="s">
        <v>218</v>
      </c>
      <c r="B80" s="6" t="s">
        <v>384</v>
      </c>
      <c r="C80" s="8">
        <v>5003607370</v>
      </c>
      <c r="D80" s="7">
        <v>44942</v>
      </c>
      <c r="E80">
        <v>5116664192</v>
      </c>
      <c r="F80" s="9">
        <v>6242.56</v>
      </c>
      <c r="G80" s="10">
        <v>32</v>
      </c>
      <c r="H80" s="9">
        <v>195.08</v>
      </c>
      <c r="I80" t="s">
        <v>399</v>
      </c>
      <c r="J80" t="s">
        <v>26</v>
      </c>
      <c r="L80" s="14"/>
    </row>
    <row r="81" spans="1:12" x14ac:dyDescent="0.35">
      <c r="A81" t="s">
        <v>220</v>
      </c>
      <c r="B81" s="6" t="s">
        <v>384</v>
      </c>
      <c r="C81" s="8">
        <v>5003607370</v>
      </c>
      <c r="D81" s="7">
        <v>44942</v>
      </c>
      <c r="E81">
        <v>5116664192</v>
      </c>
      <c r="F81" s="9">
        <v>2253</v>
      </c>
      <c r="G81" s="10">
        <v>12</v>
      </c>
      <c r="H81" s="9">
        <v>187.75</v>
      </c>
      <c r="I81" t="s">
        <v>399</v>
      </c>
      <c r="J81" t="s">
        <v>221</v>
      </c>
      <c r="L81" s="14"/>
    </row>
    <row r="82" spans="1:12" x14ac:dyDescent="0.35">
      <c r="A82" t="s">
        <v>222</v>
      </c>
      <c r="B82" s="6" t="s">
        <v>384</v>
      </c>
      <c r="C82" s="8">
        <v>5003607370</v>
      </c>
      <c r="D82" s="7">
        <v>44942</v>
      </c>
      <c r="E82">
        <v>5116664192</v>
      </c>
      <c r="F82" s="9">
        <v>1135.8399999999999</v>
      </c>
      <c r="G82" s="10">
        <v>16</v>
      </c>
      <c r="H82" s="9">
        <v>70.989999999999995</v>
      </c>
      <c r="I82" t="s">
        <v>399</v>
      </c>
      <c r="J82" t="s">
        <v>223</v>
      </c>
      <c r="L82" s="14"/>
    </row>
    <row r="83" spans="1:12" x14ac:dyDescent="0.35">
      <c r="A83" t="s">
        <v>224</v>
      </c>
      <c r="B83" s="6" t="s">
        <v>385</v>
      </c>
      <c r="C83" s="8">
        <v>5003611200</v>
      </c>
      <c r="D83" s="7">
        <v>44942</v>
      </c>
      <c r="E83">
        <v>5116664192</v>
      </c>
      <c r="F83" s="9">
        <v>20410.64</v>
      </c>
      <c r="G83" s="10">
        <v>8</v>
      </c>
      <c r="H83" s="9">
        <v>2551.33</v>
      </c>
      <c r="I83" t="s">
        <v>399</v>
      </c>
      <c r="J83" t="s">
        <v>58</v>
      </c>
      <c r="L83" s="14"/>
    </row>
    <row r="84" spans="1:12" x14ac:dyDescent="0.35">
      <c r="A84" t="s">
        <v>226</v>
      </c>
      <c r="B84" s="6" t="s">
        <v>386</v>
      </c>
      <c r="C84" s="8">
        <v>5003613224</v>
      </c>
      <c r="D84" s="7">
        <v>44942</v>
      </c>
      <c r="E84">
        <v>5116664192</v>
      </c>
      <c r="F84" s="9">
        <v>54.52</v>
      </c>
      <c r="G84" s="10">
        <v>4</v>
      </c>
      <c r="H84" s="9">
        <v>13.63</v>
      </c>
      <c r="I84" t="s">
        <v>399</v>
      </c>
      <c r="J84" t="s">
        <v>228</v>
      </c>
      <c r="L84" s="14"/>
    </row>
    <row r="85" spans="1:12" x14ac:dyDescent="0.35">
      <c r="A85" t="s">
        <v>229</v>
      </c>
      <c r="B85" s="6" t="s">
        <v>386</v>
      </c>
      <c r="C85" s="8">
        <v>5003614326</v>
      </c>
      <c r="D85" s="7">
        <v>44942</v>
      </c>
      <c r="E85">
        <v>5116664192</v>
      </c>
      <c r="F85" s="9">
        <v>5912.19</v>
      </c>
      <c r="G85" s="10">
        <v>9</v>
      </c>
      <c r="H85" s="9">
        <v>656.91</v>
      </c>
      <c r="I85" t="s">
        <v>399</v>
      </c>
      <c r="J85" t="s">
        <v>230</v>
      </c>
      <c r="L85" s="14"/>
    </row>
    <row r="86" spans="1:12" x14ac:dyDescent="0.35">
      <c r="A86" t="s">
        <v>231</v>
      </c>
      <c r="B86" s="6" t="s">
        <v>386</v>
      </c>
      <c r="C86" s="8">
        <v>5003614340</v>
      </c>
      <c r="D86" s="7">
        <v>44942</v>
      </c>
      <c r="E86">
        <v>5116664192</v>
      </c>
      <c r="F86" s="9">
        <v>13728.52</v>
      </c>
      <c r="G86" s="10">
        <v>34</v>
      </c>
      <c r="H86" s="9">
        <v>403.78000000000003</v>
      </c>
      <c r="I86" t="s">
        <v>399</v>
      </c>
      <c r="J86" t="s">
        <v>232</v>
      </c>
      <c r="L86" s="14"/>
    </row>
    <row r="87" spans="1:12" x14ac:dyDescent="0.35">
      <c r="A87" t="s">
        <v>233</v>
      </c>
      <c r="B87" s="6" t="s">
        <v>386</v>
      </c>
      <c r="C87" s="8">
        <v>5003614365</v>
      </c>
      <c r="D87" s="7">
        <v>44942</v>
      </c>
      <c r="E87">
        <v>5116664192</v>
      </c>
      <c r="F87" s="9">
        <v>5689.2</v>
      </c>
      <c r="G87" s="10">
        <v>30</v>
      </c>
      <c r="H87" s="9">
        <v>189.64</v>
      </c>
      <c r="I87" t="s">
        <v>399</v>
      </c>
      <c r="J87" t="s">
        <v>100</v>
      </c>
      <c r="L87" s="14"/>
    </row>
    <row r="88" spans="1:12" x14ac:dyDescent="0.35">
      <c r="A88" t="s">
        <v>234</v>
      </c>
      <c r="B88" s="6" t="s">
        <v>383</v>
      </c>
      <c r="C88" s="8">
        <v>5003615337</v>
      </c>
      <c r="D88" s="7">
        <v>44942</v>
      </c>
      <c r="E88">
        <v>5116664192</v>
      </c>
      <c r="F88" s="9">
        <v>111.6</v>
      </c>
      <c r="G88" s="10">
        <v>4</v>
      </c>
      <c r="H88" s="9">
        <v>27.9</v>
      </c>
      <c r="I88" t="s">
        <v>399</v>
      </c>
      <c r="J88" t="s">
        <v>128</v>
      </c>
      <c r="L88" s="14"/>
    </row>
    <row r="89" spans="1:12" x14ac:dyDescent="0.35">
      <c r="A89" t="s">
        <v>235</v>
      </c>
      <c r="B89" s="6" t="s">
        <v>383</v>
      </c>
      <c r="C89" s="8">
        <v>5003618561</v>
      </c>
      <c r="D89" s="7">
        <v>44942</v>
      </c>
      <c r="E89">
        <v>5116664192</v>
      </c>
      <c r="F89" s="9">
        <v>923.2</v>
      </c>
      <c r="G89" s="10">
        <v>10</v>
      </c>
      <c r="H89" s="9">
        <v>92.320000000000007</v>
      </c>
      <c r="I89" t="s">
        <v>399</v>
      </c>
      <c r="J89" t="s">
        <v>236</v>
      </c>
      <c r="L89" s="14"/>
    </row>
    <row r="90" spans="1:12" x14ac:dyDescent="0.35">
      <c r="A90" t="s">
        <v>237</v>
      </c>
      <c r="B90" s="6" t="s">
        <v>383</v>
      </c>
      <c r="C90" s="8">
        <v>5003618561</v>
      </c>
      <c r="D90" s="7">
        <v>44942</v>
      </c>
      <c r="E90">
        <v>5116664192</v>
      </c>
      <c r="F90" s="9">
        <v>461.6</v>
      </c>
      <c r="G90" s="10">
        <v>5</v>
      </c>
      <c r="H90" s="9">
        <v>92.320000000000007</v>
      </c>
      <c r="I90" t="s">
        <v>399</v>
      </c>
      <c r="J90" t="s">
        <v>236</v>
      </c>
      <c r="L90" s="14"/>
    </row>
    <row r="91" spans="1:12" x14ac:dyDescent="0.35">
      <c r="A91" t="s">
        <v>238</v>
      </c>
      <c r="B91" s="6" t="s">
        <v>386</v>
      </c>
      <c r="C91" s="8">
        <v>5003619217</v>
      </c>
      <c r="D91" s="7">
        <v>44942</v>
      </c>
      <c r="E91">
        <v>5116664192</v>
      </c>
      <c r="F91" s="9">
        <v>1970.73</v>
      </c>
      <c r="G91" s="10">
        <v>3</v>
      </c>
      <c r="H91" s="9">
        <v>656.91</v>
      </c>
      <c r="I91" t="s">
        <v>399</v>
      </c>
      <c r="J91" t="s">
        <v>230</v>
      </c>
      <c r="L91" s="14"/>
    </row>
    <row r="92" spans="1:12" x14ac:dyDescent="0.35">
      <c r="A92" t="s">
        <v>239</v>
      </c>
      <c r="B92" s="6" t="s">
        <v>386</v>
      </c>
      <c r="C92" s="8">
        <v>5003619256</v>
      </c>
      <c r="D92" s="7">
        <v>44942</v>
      </c>
      <c r="E92">
        <v>5116664192</v>
      </c>
      <c r="F92" s="9">
        <v>1995.64</v>
      </c>
      <c r="G92" s="10">
        <v>1</v>
      </c>
      <c r="H92" s="9">
        <v>1995.64</v>
      </c>
      <c r="I92" t="s">
        <v>399</v>
      </c>
      <c r="J92" t="s">
        <v>240</v>
      </c>
      <c r="L92" s="14"/>
    </row>
    <row r="93" spans="1:12" x14ac:dyDescent="0.35">
      <c r="A93" t="s">
        <v>241</v>
      </c>
      <c r="B93" s="6" t="s">
        <v>383</v>
      </c>
      <c r="C93" s="8">
        <v>5003627825</v>
      </c>
      <c r="D93" s="7">
        <v>44942</v>
      </c>
      <c r="E93">
        <v>5116664192</v>
      </c>
      <c r="F93" s="9">
        <v>4794.72</v>
      </c>
      <c r="G93" s="10">
        <v>48</v>
      </c>
      <c r="H93" s="9">
        <v>99.89</v>
      </c>
      <c r="I93" t="s">
        <v>399</v>
      </c>
      <c r="J93" t="s">
        <v>242</v>
      </c>
      <c r="L93" s="14"/>
    </row>
    <row r="94" spans="1:12" x14ac:dyDescent="0.35">
      <c r="A94" t="s">
        <v>255</v>
      </c>
      <c r="B94" s="6" t="s">
        <v>387</v>
      </c>
      <c r="C94" s="8">
        <v>5003554346</v>
      </c>
      <c r="D94" s="7">
        <v>44942</v>
      </c>
      <c r="E94">
        <v>5116664074</v>
      </c>
      <c r="F94" s="9">
        <v>46.54</v>
      </c>
      <c r="G94" s="10">
        <v>1</v>
      </c>
      <c r="H94" s="9">
        <v>46.54</v>
      </c>
      <c r="I94" t="s">
        <v>399</v>
      </c>
      <c r="J94" t="s">
        <v>257</v>
      </c>
      <c r="L94" s="14"/>
    </row>
    <row r="95" spans="1:12" x14ac:dyDescent="0.35">
      <c r="A95" t="s">
        <v>258</v>
      </c>
      <c r="B95" s="6" t="s">
        <v>387</v>
      </c>
      <c r="C95" s="8">
        <v>5003557853</v>
      </c>
      <c r="D95" s="7">
        <v>44942</v>
      </c>
      <c r="E95">
        <v>5116664075</v>
      </c>
      <c r="F95" s="9">
        <v>46.54</v>
      </c>
      <c r="G95" s="10">
        <v>1</v>
      </c>
      <c r="H95" s="9">
        <v>46.54</v>
      </c>
      <c r="I95" t="s">
        <v>399</v>
      </c>
      <c r="J95" t="s">
        <v>257</v>
      </c>
      <c r="L95" s="14"/>
    </row>
    <row r="96" spans="1:12" x14ac:dyDescent="0.35">
      <c r="A96" t="s">
        <v>259</v>
      </c>
      <c r="B96" s="6" t="s">
        <v>387</v>
      </c>
      <c r="C96" s="8">
        <v>5003560802</v>
      </c>
      <c r="D96" s="7">
        <v>44942</v>
      </c>
      <c r="E96">
        <v>5116664076</v>
      </c>
      <c r="F96" s="9">
        <v>46.54</v>
      </c>
      <c r="G96" s="10">
        <v>1</v>
      </c>
      <c r="H96" s="9">
        <v>46.54</v>
      </c>
      <c r="I96" t="s">
        <v>399</v>
      </c>
      <c r="J96" t="s">
        <v>257</v>
      </c>
      <c r="L96" s="14"/>
    </row>
    <row r="97" spans="1:12" x14ac:dyDescent="0.35">
      <c r="A97" t="s">
        <v>260</v>
      </c>
      <c r="B97" s="6" t="s">
        <v>384</v>
      </c>
      <c r="C97" s="8">
        <v>5003584040</v>
      </c>
      <c r="D97" s="7">
        <v>44942</v>
      </c>
      <c r="E97">
        <v>5116664077</v>
      </c>
      <c r="F97" s="9">
        <v>418.86</v>
      </c>
      <c r="G97" s="10">
        <v>9</v>
      </c>
      <c r="H97" s="9">
        <v>46.54</v>
      </c>
      <c r="I97" t="s">
        <v>399</v>
      </c>
      <c r="J97" t="s">
        <v>257</v>
      </c>
      <c r="L97" s="14"/>
    </row>
    <row r="98" spans="1:12" x14ac:dyDescent="0.35">
      <c r="A98" t="s">
        <v>261</v>
      </c>
      <c r="B98" s="6" t="s">
        <v>384</v>
      </c>
      <c r="C98" s="8">
        <v>5003585682</v>
      </c>
      <c r="D98" s="7">
        <v>44942</v>
      </c>
      <c r="E98">
        <v>5116664078</v>
      </c>
      <c r="F98" s="9">
        <v>46.54</v>
      </c>
      <c r="G98" s="10">
        <v>1</v>
      </c>
      <c r="H98" s="9">
        <v>46.54</v>
      </c>
      <c r="I98" t="s">
        <v>399</v>
      </c>
      <c r="J98" t="s">
        <v>257</v>
      </c>
      <c r="L98" s="14"/>
    </row>
    <row r="99" spans="1:12" x14ac:dyDescent="0.35">
      <c r="A99" t="s">
        <v>262</v>
      </c>
      <c r="B99" s="6" t="s">
        <v>384</v>
      </c>
      <c r="C99" s="8">
        <v>5003592236</v>
      </c>
      <c r="D99" s="7">
        <v>44942</v>
      </c>
      <c r="E99">
        <v>5116664079</v>
      </c>
      <c r="F99" s="9">
        <v>93.08</v>
      </c>
      <c r="G99" s="10">
        <v>2</v>
      </c>
      <c r="H99" s="9">
        <v>46.54</v>
      </c>
      <c r="I99" t="s">
        <v>399</v>
      </c>
      <c r="J99" t="s">
        <v>257</v>
      </c>
      <c r="L99" s="14"/>
    </row>
    <row r="100" spans="1:12" x14ac:dyDescent="0.35">
      <c r="A100" t="s">
        <v>263</v>
      </c>
      <c r="B100" s="6" t="s">
        <v>384</v>
      </c>
      <c r="C100" s="8">
        <v>5003593662</v>
      </c>
      <c r="D100" s="7">
        <v>44942</v>
      </c>
      <c r="E100">
        <v>5116664180</v>
      </c>
      <c r="F100" s="9">
        <v>46.54</v>
      </c>
      <c r="G100" s="10">
        <v>1</v>
      </c>
      <c r="H100" s="9">
        <v>46.54</v>
      </c>
      <c r="I100" t="s">
        <v>399</v>
      </c>
      <c r="J100" t="s">
        <v>257</v>
      </c>
      <c r="L100" s="14"/>
    </row>
    <row r="101" spans="1:12" x14ac:dyDescent="0.35">
      <c r="A101" t="s">
        <v>264</v>
      </c>
      <c r="B101" s="6" t="s">
        <v>384</v>
      </c>
      <c r="C101" s="8">
        <v>5003598213</v>
      </c>
      <c r="D101" s="7">
        <v>44942</v>
      </c>
      <c r="E101">
        <v>5116664181</v>
      </c>
      <c r="F101" s="9">
        <v>46.54</v>
      </c>
      <c r="G101" s="10">
        <v>1</v>
      </c>
      <c r="H101" s="9">
        <v>46.54</v>
      </c>
      <c r="I101" t="s">
        <v>399</v>
      </c>
      <c r="J101" t="s">
        <v>257</v>
      </c>
      <c r="L101" s="14"/>
    </row>
    <row r="102" spans="1:12" x14ac:dyDescent="0.35">
      <c r="A102" t="s">
        <v>265</v>
      </c>
      <c r="B102" s="6" t="s">
        <v>384</v>
      </c>
      <c r="C102" s="8">
        <v>5003605239</v>
      </c>
      <c r="D102" s="7">
        <v>44942</v>
      </c>
      <c r="E102">
        <v>5116664182</v>
      </c>
      <c r="F102" s="9">
        <v>46.54</v>
      </c>
      <c r="G102" s="10">
        <v>1</v>
      </c>
      <c r="H102" s="9">
        <v>46.54</v>
      </c>
      <c r="I102" t="s">
        <v>399</v>
      </c>
      <c r="J102" t="s">
        <v>257</v>
      </c>
      <c r="L102" s="14"/>
    </row>
    <row r="103" spans="1:12" x14ac:dyDescent="0.35">
      <c r="A103" t="s">
        <v>266</v>
      </c>
      <c r="B103" s="6" t="s">
        <v>387</v>
      </c>
      <c r="C103" s="8">
        <v>5003607373</v>
      </c>
      <c r="D103" s="7">
        <v>44942</v>
      </c>
      <c r="E103">
        <v>5116664184</v>
      </c>
      <c r="F103" s="9">
        <v>241.51</v>
      </c>
      <c r="G103" s="10">
        <v>1</v>
      </c>
      <c r="H103" s="9">
        <v>241.51</v>
      </c>
      <c r="I103" t="s">
        <v>399</v>
      </c>
      <c r="J103" t="s">
        <v>267</v>
      </c>
      <c r="L103" s="14"/>
    </row>
    <row r="104" spans="1:12" x14ac:dyDescent="0.35">
      <c r="A104" t="s">
        <v>268</v>
      </c>
      <c r="B104" s="6" t="s">
        <v>384</v>
      </c>
      <c r="C104" s="8">
        <v>5003607373</v>
      </c>
      <c r="D104" s="7">
        <v>44942</v>
      </c>
      <c r="E104">
        <v>5116664184</v>
      </c>
      <c r="F104" s="9">
        <v>325.77999999999997</v>
      </c>
      <c r="G104" s="10">
        <v>7</v>
      </c>
      <c r="H104" s="9">
        <v>46.54</v>
      </c>
      <c r="I104" t="s">
        <v>399</v>
      </c>
      <c r="J104" t="s">
        <v>257</v>
      </c>
      <c r="L104" s="14"/>
    </row>
    <row r="105" spans="1:12" x14ac:dyDescent="0.35">
      <c r="A105" t="s">
        <v>269</v>
      </c>
      <c r="B105" s="6" t="s">
        <v>387</v>
      </c>
      <c r="C105" s="8">
        <v>5003607373</v>
      </c>
      <c r="D105" s="7">
        <v>44942</v>
      </c>
      <c r="E105">
        <v>5116664184</v>
      </c>
      <c r="F105" s="9">
        <v>3783.04</v>
      </c>
      <c r="G105" s="10">
        <v>32</v>
      </c>
      <c r="H105" s="9">
        <v>118.22</v>
      </c>
      <c r="I105" t="s">
        <v>399</v>
      </c>
      <c r="J105" t="s">
        <v>270</v>
      </c>
      <c r="L105" s="14"/>
    </row>
    <row r="106" spans="1:12" x14ac:dyDescent="0.35">
      <c r="A106" t="s">
        <v>276</v>
      </c>
      <c r="B106" s="6" t="s">
        <v>389</v>
      </c>
      <c r="C106" s="8">
        <v>2351575136</v>
      </c>
      <c r="D106" s="7">
        <v>44943</v>
      </c>
      <c r="E106">
        <v>5116664518</v>
      </c>
      <c r="F106" s="9">
        <v>1010.66</v>
      </c>
      <c r="G106" s="10">
        <v>14</v>
      </c>
      <c r="H106" s="9">
        <v>72.19</v>
      </c>
      <c r="I106" t="s">
        <v>399</v>
      </c>
      <c r="J106" t="s">
        <v>278</v>
      </c>
      <c r="L106" s="14"/>
    </row>
    <row r="107" spans="1:12" x14ac:dyDescent="0.35">
      <c r="A107" t="s">
        <v>279</v>
      </c>
      <c r="B107" s="6" t="s">
        <v>389</v>
      </c>
      <c r="C107" s="8">
        <v>2351647528</v>
      </c>
      <c r="D107" s="7">
        <v>44943</v>
      </c>
      <c r="E107">
        <v>5116664518</v>
      </c>
      <c r="F107" s="9">
        <v>386.16</v>
      </c>
      <c r="G107" s="10">
        <v>2</v>
      </c>
      <c r="H107" s="9">
        <v>193.08</v>
      </c>
      <c r="I107" t="s">
        <v>399</v>
      </c>
      <c r="J107" t="s">
        <v>280</v>
      </c>
      <c r="L107" s="14"/>
    </row>
    <row r="108" spans="1:12" x14ac:dyDescent="0.35">
      <c r="A108" t="s">
        <v>281</v>
      </c>
      <c r="B108" s="6" t="s">
        <v>390</v>
      </c>
      <c r="C108" s="8">
        <v>2351649162</v>
      </c>
      <c r="D108" s="7">
        <v>44943</v>
      </c>
      <c r="E108">
        <v>5116664518</v>
      </c>
      <c r="F108" s="9">
        <v>141.21</v>
      </c>
      <c r="G108" s="10">
        <v>9</v>
      </c>
      <c r="H108" s="9">
        <v>15.690000000000001</v>
      </c>
      <c r="I108" t="s">
        <v>399</v>
      </c>
      <c r="J108" t="s">
        <v>283</v>
      </c>
      <c r="L108" s="14"/>
    </row>
    <row r="109" spans="1:12" x14ac:dyDescent="0.35">
      <c r="A109" t="s">
        <v>284</v>
      </c>
      <c r="B109" s="6" t="s">
        <v>390</v>
      </c>
      <c r="C109" s="8">
        <v>2351649162</v>
      </c>
      <c r="D109" s="7">
        <v>44943</v>
      </c>
      <c r="E109">
        <v>5116664518</v>
      </c>
      <c r="F109" s="9">
        <v>788</v>
      </c>
      <c r="G109" s="10">
        <v>20</v>
      </c>
      <c r="H109" s="9">
        <v>39.4</v>
      </c>
      <c r="I109" t="s">
        <v>399</v>
      </c>
      <c r="J109" t="s">
        <v>285</v>
      </c>
      <c r="L109" s="14"/>
    </row>
    <row r="110" spans="1:12" x14ac:dyDescent="0.35">
      <c r="A110" t="s">
        <v>286</v>
      </c>
      <c r="B110" s="6" t="s">
        <v>389</v>
      </c>
      <c r="C110" s="8">
        <v>2351663395</v>
      </c>
      <c r="D110" s="7">
        <v>44943</v>
      </c>
      <c r="E110">
        <v>5116664518</v>
      </c>
      <c r="F110" s="9">
        <v>193.08</v>
      </c>
      <c r="G110" s="10">
        <v>1</v>
      </c>
      <c r="H110" s="9">
        <v>193.08</v>
      </c>
      <c r="I110" t="s">
        <v>399</v>
      </c>
      <c r="J110" t="s">
        <v>280</v>
      </c>
      <c r="L110" s="14"/>
    </row>
    <row r="111" spans="1:12" x14ac:dyDescent="0.35">
      <c r="A111" t="s">
        <v>287</v>
      </c>
      <c r="B111" s="6" t="s">
        <v>391</v>
      </c>
      <c r="C111" s="8">
        <v>2351663940</v>
      </c>
      <c r="D111" s="7">
        <v>44943</v>
      </c>
      <c r="E111">
        <v>5116664518</v>
      </c>
      <c r="F111" s="9">
        <v>1408.32</v>
      </c>
      <c r="G111" s="10">
        <v>144</v>
      </c>
      <c r="H111" s="9">
        <v>9.7799999999999994</v>
      </c>
      <c r="I111" t="s">
        <v>399</v>
      </c>
      <c r="J111" t="s">
        <v>289</v>
      </c>
      <c r="L111" s="14"/>
    </row>
    <row r="112" spans="1:12" x14ac:dyDescent="0.35">
      <c r="A112" t="s">
        <v>290</v>
      </c>
      <c r="B112" s="6" t="s">
        <v>391</v>
      </c>
      <c r="C112" s="8">
        <v>2351664191</v>
      </c>
      <c r="D112" s="7">
        <v>44943</v>
      </c>
      <c r="E112">
        <v>5116664518</v>
      </c>
      <c r="F112" s="9">
        <v>1119.3599999999999</v>
      </c>
      <c r="G112" s="10">
        <v>96</v>
      </c>
      <c r="H112" s="9">
        <v>11.659999999999998</v>
      </c>
      <c r="I112" t="s">
        <v>399</v>
      </c>
      <c r="J112" t="s">
        <v>291</v>
      </c>
      <c r="L112" s="14"/>
    </row>
    <row r="113" spans="1:12" x14ac:dyDescent="0.35">
      <c r="A113" t="s">
        <v>292</v>
      </c>
      <c r="B113" s="6" t="s">
        <v>392</v>
      </c>
      <c r="C113" s="8">
        <v>2351665188</v>
      </c>
      <c r="D113" s="7">
        <v>44943</v>
      </c>
      <c r="E113">
        <v>5116664518</v>
      </c>
      <c r="F113" s="9">
        <v>143.76</v>
      </c>
      <c r="G113" s="10">
        <v>3</v>
      </c>
      <c r="H113" s="9">
        <v>47.919999999999995</v>
      </c>
      <c r="I113" t="s">
        <v>399</v>
      </c>
      <c r="J113" t="s">
        <v>294</v>
      </c>
      <c r="L113" s="14"/>
    </row>
    <row r="114" spans="1:12" x14ac:dyDescent="0.35">
      <c r="A114" t="s">
        <v>295</v>
      </c>
      <c r="B114" s="6" t="s">
        <v>393</v>
      </c>
      <c r="C114" s="8">
        <v>2351669094</v>
      </c>
      <c r="D114" s="7">
        <v>44943</v>
      </c>
      <c r="E114">
        <v>5116664518</v>
      </c>
      <c r="F114" s="9">
        <v>868.74</v>
      </c>
      <c r="G114" s="10">
        <v>6</v>
      </c>
      <c r="H114" s="9">
        <v>144.79</v>
      </c>
      <c r="I114" t="s">
        <v>399</v>
      </c>
      <c r="J114" t="s">
        <v>47</v>
      </c>
      <c r="L114" s="14"/>
    </row>
    <row r="115" spans="1:12" x14ac:dyDescent="0.35">
      <c r="A115" t="s">
        <v>297</v>
      </c>
      <c r="B115" s="6" t="s">
        <v>393</v>
      </c>
      <c r="C115" s="8">
        <v>2351669094</v>
      </c>
      <c r="D115" s="7">
        <v>44943</v>
      </c>
      <c r="E115">
        <v>5116664518</v>
      </c>
      <c r="F115" s="9">
        <v>144.79</v>
      </c>
      <c r="G115" s="10">
        <v>1</v>
      </c>
      <c r="H115" s="9">
        <v>144.79</v>
      </c>
      <c r="I115" t="s">
        <v>399</v>
      </c>
      <c r="J115" t="s">
        <v>47</v>
      </c>
      <c r="L115" s="14"/>
    </row>
    <row r="116" spans="1:12" x14ac:dyDescent="0.35">
      <c r="A116" t="s">
        <v>298</v>
      </c>
      <c r="B116" s="6" t="s">
        <v>392</v>
      </c>
      <c r="C116" s="8">
        <v>2351671007</v>
      </c>
      <c r="D116" s="7">
        <v>44943</v>
      </c>
      <c r="E116">
        <v>5116664518</v>
      </c>
      <c r="F116" s="9">
        <v>1135.8399999999999</v>
      </c>
      <c r="G116" s="10">
        <v>16</v>
      </c>
      <c r="H116" s="9">
        <v>70.989999999999995</v>
      </c>
      <c r="I116" t="s">
        <v>399</v>
      </c>
      <c r="J116" t="s">
        <v>223</v>
      </c>
      <c r="L116" s="14"/>
    </row>
    <row r="117" spans="1:12" x14ac:dyDescent="0.35">
      <c r="A117" t="s">
        <v>299</v>
      </c>
      <c r="B117" s="6" t="s">
        <v>390</v>
      </c>
      <c r="C117" s="8">
        <v>2351671791</v>
      </c>
      <c r="D117" s="7">
        <v>44943</v>
      </c>
      <c r="E117">
        <v>5116664518</v>
      </c>
      <c r="F117" s="9">
        <v>170.4</v>
      </c>
      <c r="G117" s="10">
        <v>30</v>
      </c>
      <c r="H117" s="9">
        <v>5.6800000000000006</v>
      </c>
      <c r="I117" t="s">
        <v>399</v>
      </c>
      <c r="J117" t="s">
        <v>139</v>
      </c>
      <c r="L117" s="14"/>
    </row>
    <row r="118" spans="1:12" x14ac:dyDescent="0.35">
      <c r="A118" t="s">
        <v>300</v>
      </c>
      <c r="B118" s="6" t="s">
        <v>390</v>
      </c>
      <c r="C118" s="8">
        <v>2351671791</v>
      </c>
      <c r="D118" s="7">
        <v>44943</v>
      </c>
      <c r="E118">
        <v>5116664518</v>
      </c>
      <c r="F118" s="9">
        <v>2010.6</v>
      </c>
      <c r="G118" s="10">
        <v>20</v>
      </c>
      <c r="H118" s="9">
        <v>100.53</v>
      </c>
      <c r="I118" t="s">
        <v>399</v>
      </c>
      <c r="J118" t="s">
        <v>301</v>
      </c>
      <c r="L118" s="14"/>
    </row>
    <row r="119" spans="1:12" x14ac:dyDescent="0.35">
      <c r="A119" t="s">
        <v>302</v>
      </c>
      <c r="B119" s="6" t="s">
        <v>394</v>
      </c>
      <c r="C119" s="8">
        <v>2351671793</v>
      </c>
      <c r="D119" s="7">
        <v>44943</v>
      </c>
      <c r="E119">
        <v>5116664518</v>
      </c>
      <c r="F119" s="9">
        <v>4336.8</v>
      </c>
      <c r="G119" s="10">
        <v>30</v>
      </c>
      <c r="H119" s="9">
        <v>144.56</v>
      </c>
      <c r="I119" t="s">
        <v>399</v>
      </c>
      <c r="J119" t="s">
        <v>304</v>
      </c>
      <c r="L119" s="14"/>
    </row>
    <row r="120" spans="1:12" x14ac:dyDescent="0.35">
      <c r="A120" t="s">
        <v>305</v>
      </c>
      <c r="B120" s="6" t="s">
        <v>389</v>
      </c>
      <c r="C120" s="8">
        <v>2351671793</v>
      </c>
      <c r="D120" s="7">
        <v>44943</v>
      </c>
      <c r="E120">
        <v>5116664518</v>
      </c>
      <c r="F120" s="9">
        <v>193.08</v>
      </c>
      <c r="G120" s="10">
        <v>1</v>
      </c>
      <c r="H120" s="9">
        <v>193.08</v>
      </c>
      <c r="I120" t="s">
        <v>399</v>
      </c>
      <c r="J120" t="s">
        <v>280</v>
      </c>
      <c r="L120" s="14"/>
    </row>
    <row r="121" spans="1:12" x14ac:dyDescent="0.35">
      <c r="A121" t="s">
        <v>306</v>
      </c>
      <c r="B121" s="6" t="s">
        <v>389</v>
      </c>
      <c r="C121" s="8">
        <v>2351671793</v>
      </c>
      <c r="D121" s="7">
        <v>44943</v>
      </c>
      <c r="E121">
        <v>5116664518</v>
      </c>
      <c r="F121" s="9">
        <v>1950.8</v>
      </c>
      <c r="G121" s="10">
        <v>10</v>
      </c>
      <c r="H121" s="9">
        <v>195.07999999999998</v>
      </c>
      <c r="I121" t="s">
        <v>399</v>
      </c>
      <c r="J121" t="s">
        <v>26</v>
      </c>
      <c r="L121" s="14"/>
    </row>
    <row r="122" spans="1:12" x14ac:dyDescent="0.35">
      <c r="A122" t="s">
        <v>307</v>
      </c>
      <c r="B122" s="6" t="s">
        <v>392</v>
      </c>
      <c r="C122" s="8">
        <v>2351671793</v>
      </c>
      <c r="D122" s="7">
        <v>44943</v>
      </c>
      <c r="E122">
        <v>5116664518</v>
      </c>
      <c r="F122" s="9">
        <v>2653.82</v>
      </c>
      <c r="G122" s="10">
        <v>26</v>
      </c>
      <c r="H122" s="9">
        <v>102.07000000000001</v>
      </c>
      <c r="I122" t="s">
        <v>399</v>
      </c>
      <c r="J122" t="s">
        <v>308</v>
      </c>
      <c r="L122" s="14"/>
    </row>
    <row r="123" spans="1:12" x14ac:dyDescent="0.35">
      <c r="A123" t="s">
        <v>309</v>
      </c>
      <c r="B123" s="6" t="s">
        <v>389</v>
      </c>
      <c r="C123" s="8">
        <v>2351671793</v>
      </c>
      <c r="D123" s="7">
        <v>44943</v>
      </c>
      <c r="E123">
        <v>5116664518</v>
      </c>
      <c r="F123" s="9">
        <v>840.57</v>
      </c>
      <c r="G123" s="10">
        <v>3</v>
      </c>
      <c r="H123" s="9">
        <v>280.19</v>
      </c>
      <c r="I123" t="s">
        <v>399</v>
      </c>
      <c r="J123" t="s">
        <v>147</v>
      </c>
      <c r="L123" s="14"/>
    </row>
    <row r="124" spans="1:12" x14ac:dyDescent="0.35">
      <c r="A124" t="s">
        <v>310</v>
      </c>
      <c r="B124" s="6" t="s">
        <v>390</v>
      </c>
      <c r="C124" s="8">
        <v>2351677263</v>
      </c>
      <c r="D124" s="7">
        <v>44943</v>
      </c>
      <c r="E124">
        <v>5116664518</v>
      </c>
      <c r="F124" s="9">
        <v>234.8</v>
      </c>
      <c r="G124" s="10">
        <v>20</v>
      </c>
      <c r="H124" s="9">
        <v>11.74</v>
      </c>
      <c r="I124" t="s">
        <v>399</v>
      </c>
      <c r="J124" t="s">
        <v>141</v>
      </c>
      <c r="L124" s="14"/>
    </row>
    <row r="125" spans="1:12" x14ac:dyDescent="0.35">
      <c r="A125" t="s">
        <v>313</v>
      </c>
      <c r="B125" s="6" t="s">
        <v>395</v>
      </c>
      <c r="C125" s="8">
        <v>2351667820</v>
      </c>
      <c r="D125" s="7">
        <v>44943</v>
      </c>
      <c r="E125">
        <v>5116664519</v>
      </c>
      <c r="F125" s="9">
        <v>151.08000000000001</v>
      </c>
      <c r="G125" s="10">
        <v>3</v>
      </c>
      <c r="H125" s="9">
        <v>50.360000000000007</v>
      </c>
      <c r="I125" t="s">
        <v>399</v>
      </c>
      <c r="J125" t="s">
        <v>315</v>
      </c>
      <c r="L125" s="14"/>
    </row>
    <row r="126" spans="1:12" x14ac:dyDescent="0.35">
      <c r="A126" t="s">
        <v>316</v>
      </c>
      <c r="B126" s="6" t="s">
        <v>392</v>
      </c>
      <c r="C126" s="8">
        <v>2351671008</v>
      </c>
      <c r="D126" s="7">
        <v>44943</v>
      </c>
      <c r="E126">
        <v>5116664519</v>
      </c>
      <c r="F126" s="9">
        <v>599.88</v>
      </c>
      <c r="G126" s="10">
        <v>6</v>
      </c>
      <c r="H126" s="9">
        <v>99.98</v>
      </c>
      <c r="I126" t="s">
        <v>399</v>
      </c>
      <c r="J126" t="s">
        <v>317</v>
      </c>
      <c r="L126" s="14"/>
    </row>
    <row r="127" spans="1:12" x14ac:dyDescent="0.35">
      <c r="A127" t="s">
        <v>318</v>
      </c>
      <c r="B127" s="6" t="s">
        <v>392</v>
      </c>
      <c r="C127" s="8">
        <v>2351671796</v>
      </c>
      <c r="D127" s="7">
        <v>44943</v>
      </c>
      <c r="E127">
        <v>5116664519</v>
      </c>
      <c r="F127" s="9">
        <v>4467.84</v>
      </c>
      <c r="G127" s="10">
        <v>96</v>
      </c>
      <c r="H127" s="9">
        <v>46.54</v>
      </c>
      <c r="I127" t="s">
        <v>399</v>
      </c>
      <c r="J127" t="s">
        <v>257</v>
      </c>
      <c r="L127" s="14"/>
    </row>
    <row r="128" spans="1:12" x14ac:dyDescent="0.35">
      <c r="A128" t="s">
        <v>319</v>
      </c>
      <c r="B128" s="6" t="s">
        <v>392</v>
      </c>
      <c r="C128" s="8">
        <v>2351671796</v>
      </c>
      <c r="D128" s="7">
        <v>44943</v>
      </c>
      <c r="E128">
        <v>5116664519</v>
      </c>
      <c r="F128" s="9">
        <v>791.18</v>
      </c>
      <c r="G128" s="10">
        <v>17</v>
      </c>
      <c r="H128" s="9">
        <v>46.54</v>
      </c>
      <c r="I128" t="s">
        <v>399</v>
      </c>
      <c r="J128" t="s">
        <v>257</v>
      </c>
      <c r="L128" s="14"/>
    </row>
    <row r="129" spans="1:12" x14ac:dyDescent="0.35">
      <c r="A129" t="s">
        <v>323</v>
      </c>
      <c r="B129" s="6" t="s">
        <v>396</v>
      </c>
      <c r="C129" s="8">
        <v>2351678640</v>
      </c>
      <c r="D129" s="7">
        <v>44943</v>
      </c>
      <c r="E129">
        <v>5116664519</v>
      </c>
      <c r="F129" s="9">
        <v>2654.47</v>
      </c>
      <c r="G129" s="10">
        <v>13</v>
      </c>
      <c r="H129" s="9">
        <v>204.19</v>
      </c>
      <c r="I129" t="s">
        <v>399</v>
      </c>
      <c r="J129" t="s">
        <v>325</v>
      </c>
      <c r="L129" s="14"/>
    </row>
    <row r="130" spans="1:12" x14ac:dyDescent="0.35">
      <c r="A130" t="s">
        <v>326</v>
      </c>
      <c r="B130" s="6" t="s">
        <v>397</v>
      </c>
      <c r="C130" s="8">
        <v>5003603516</v>
      </c>
      <c r="D130" s="7">
        <v>44943</v>
      </c>
      <c r="E130">
        <v>5116661490</v>
      </c>
      <c r="F130" s="9">
        <v>16691.04</v>
      </c>
      <c r="G130" s="10">
        <v>16</v>
      </c>
      <c r="H130" s="9">
        <v>1043.19</v>
      </c>
      <c r="I130" t="s">
        <v>399</v>
      </c>
      <c r="J130" t="s">
        <v>164</v>
      </c>
      <c r="L130" s="14"/>
    </row>
    <row r="131" spans="1:12" x14ac:dyDescent="0.35">
      <c r="A131" t="s">
        <v>328</v>
      </c>
      <c r="B131" s="6" t="s">
        <v>398</v>
      </c>
      <c r="C131" s="8">
        <v>5003606166</v>
      </c>
      <c r="D131" s="7">
        <v>44943</v>
      </c>
      <c r="E131">
        <v>5116661490</v>
      </c>
      <c r="F131" s="9">
        <v>105554.88</v>
      </c>
      <c r="G131" s="10">
        <v>76</v>
      </c>
      <c r="H131" s="9">
        <v>1388.88</v>
      </c>
      <c r="I131" t="s">
        <v>399</v>
      </c>
      <c r="J131" t="s">
        <v>105</v>
      </c>
      <c r="L131" s="14"/>
    </row>
    <row r="132" spans="1:12" x14ac:dyDescent="0.35">
      <c r="A132" t="s">
        <v>330</v>
      </c>
      <c r="B132" s="6" t="s">
        <v>398</v>
      </c>
      <c r="C132" s="8">
        <v>5003606166</v>
      </c>
      <c r="D132" s="7">
        <v>44943</v>
      </c>
      <c r="E132">
        <v>5116661490</v>
      </c>
      <c r="F132" s="9">
        <v>38265.599999999999</v>
      </c>
      <c r="G132" s="10">
        <v>32</v>
      </c>
      <c r="H132" s="9">
        <v>1195.8</v>
      </c>
      <c r="I132" t="s">
        <v>399</v>
      </c>
      <c r="J132" t="s">
        <v>331</v>
      </c>
      <c r="L132" s="14"/>
    </row>
    <row r="133" spans="1:12" x14ac:dyDescent="0.35">
      <c r="A133" t="s">
        <v>332</v>
      </c>
      <c r="B133" s="6" t="s">
        <v>397</v>
      </c>
      <c r="C133" s="8">
        <v>5003631183</v>
      </c>
      <c r="D133" s="7">
        <v>44943</v>
      </c>
      <c r="E133">
        <v>5116661490</v>
      </c>
      <c r="F133" s="9">
        <v>28681.200000000001</v>
      </c>
      <c r="G133" s="10">
        <v>24</v>
      </c>
      <c r="H133" s="9">
        <v>1195.05</v>
      </c>
      <c r="I133" t="s">
        <v>399</v>
      </c>
      <c r="J133" t="s">
        <v>66</v>
      </c>
      <c r="L133" s="14"/>
    </row>
    <row r="134" spans="1:12" x14ac:dyDescent="0.35">
      <c r="A134" t="s">
        <v>333</v>
      </c>
      <c r="B134" s="6" t="s">
        <v>397</v>
      </c>
      <c r="C134" s="8">
        <v>5003644767</v>
      </c>
      <c r="D134" s="7">
        <v>44943</v>
      </c>
      <c r="E134">
        <v>5116661490</v>
      </c>
      <c r="F134" s="9">
        <v>27051.599999999999</v>
      </c>
      <c r="G134" s="10">
        <v>24</v>
      </c>
      <c r="H134" s="9">
        <v>1127.1499999999999</v>
      </c>
      <c r="I134" t="s">
        <v>399</v>
      </c>
      <c r="J134" t="s">
        <v>334</v>
      </c>
      <c r="L134" s="14"/>
    </row>
  </sheetData>
  <autoFilter ref="A1:J1" xr:uid="{E86941FB-08DB-4973-AC49-DD2F3F49E818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1FC6-7A99-4867-868F-8414B89B39EC}">
  <dimension ref="A1:D104"/>
  <sheetViews>
    <sheetView tabSelected="1" workbookViewId="0">
      <selection sqref="A1:XFD2"/>
    </sheetView>
  </sheetViews>
  <sheetFormatPr defaultRowHeight="14.5" x14ac:dyDescent="0.35"/>
  <cols>
    <col min="1" max="1" width="14.6328125" bestFit="1" customWidth="1"/>
    <col min="2" max="2" width="12.81640625" bestFit="1" customWidth="1"/>
    <col min="3" max="3" width="10.81640625" bestFit="1" customWidth="1"/>
    <col min="4" max="4" width="17.90625" bestFit="1" customWidth="1"/>
  </cols>
  <sheetData>
    <row r="1" spans="1:4" x14ac:dyDescent="0.35">
      <c r="A1" s="15" t="s">
        <v>3</v>
      </c>
      <c r="B1" s="15" t="s">
        <v>5</v>
      </c>
      <c r="C1" s="15" t="s">
        <v>0</v>
      </c>
      <c r="D1" t="s">
        <v>347</v>
      </c>
    </row>
    <row r="2" spans="1:4" x14ac:dyDescent="0.35">
      <c r="A2" t="s">
        <v>369</v>
      </c>
      <c r="B2" s="8">
        <v>5003391662</v>
      </c>
      <c r="C2">
        <v>5116652061</v>
      </c>
      <c r="D2" s="16">
        <v>1947.3</v>
      </c>
    </row>
    <row r="3" spans="1:4" x14ac:dyDescent="0.35">
      <c r="A3" t="s">
        <v>359</v>
      </c>
      <c r="B3" s="8">
        <v>5003631185</v>
      </c>
      <c r="C3">
        <v>5116667595</v>
      </c>
      <c r="D3" s="16">
        <v>14340.6</v>
      </c>
    </row>
    <row r="4" spans="1:4" x14ac:dyDescent="0.35">
      <c r="A4" t="s">
        <v>386</v>
      </c>
      <c r="B4" s="8">
        <v>5003613224</v>
      </c>
      <c r="C4">
        <v>5116664192</v>
      </c>
      <c r="D4" s="16">
        <v>54.52</v>
      </c>
    </row>
    <row r="5" spans="1:4" x14ac:dyDescent="0.35">
      <c r="A5" t="s">
        <v>386</v>
      </c>
      <c r="B5" s="8">
        <v>5003614326</v>
      </c>
      <c r="C5">
        <v>5116664192</v>
      </c>
      <c r="D5" s="16">
        <v>5912.19</v>
      </c>
    </row>
    <row r="6" spans="1:4" x14ac:dyDescent="0.35">
      <c r="A6" t="s">
        <v>386</v>
      </c>
      <c r="B6" s="8">
        <v>5003614340</v>
      </c>
      <c r="C6">
        <v>5116664192</v>
      </c>
      <c r="D6" s="16">
        <v>13728.52</v>
      </c>
    </row>
    <row r="7" spans="1:4" x14ac:dyDescent="0.35">
      <c r="A7" t="s">
        <v>386</v>
      </c>
      <c r="B7" s="8">
        <v>5003614365</v>
      </c>
      <c r="C7">
        <v>5116664192</v>
      </c>
      <c r="D7" s="16">
        <v>5689.2</v>
      </c>
    </row>
    <row r="8" spans="1:4" x14ac:dyDescent="0.35">
      <c r="A8" t="s">
        <v>386</v>
      </c>
      <c r="B8" s="8">
        <v>5003619217</v>
      </c>
      <c r="C8">
        <v>5116664192</v>
      </c>
      <c r="D8" s="16">
        <v>1970.73</v>
      </c>
    </row>
    <row r="9" spans="1:4" x14ac:dyDescent="0.35">
      <c r="A9" t="s">
        <v>386</v>
      </c>
      <c r="B9" s="8">
        <v>5003619256</v>
      </c>
      <c r="C9">
        <v>5116664192</v>
      </c>
      <c r="D9" s="16">
        <v>1995.64</v>
      </c>
    </row>
    <row r="10" spans="1:4" x14ac:dyDescent="0.35">
      <c r="A10" t="s">
        <v>352</v>
      </c>
      <c r="B10" s="8">
        <v>5003450192</v>
      </c>
      <c r="C10">
        <v>5116667552</v>
      </c>
      <c r="D10" s="16">
        <v>975.4</v>
      </c>
    </row>
    <row r="11" spans="1:4" x14ac:dyDescent="0.35">
      <c r="A11" t="s">
        <v>352</v>
      </c>
      <c r="B11" s="8">
        <v>5003553241</v>
      </c>
      <c r="C11">
        <v>5116667555</v>
      </c>
      <c r="D11" s="16">
        <v>214.92</v>
      </c>
    </row>
    <row r="12" spans="1:4" x14ac:dyDescent="0.35">
      <c r="A12" t="s">
        <v>352</v>
      </c>
      <c r="B12" s="8">
        <v>5003590640</v>
      </c>
      <c r="C12">
        <v>5116667559</v>
      </c>
      <c r="D12" s="16">
        <v>222.8</v>
      </c>
    </row>
    <row r="13" spans="1:4" x14ac:dyDescent="0.35">
      <c r="A13" t="s">
        <v>352</v>
      </c>
      <c r="B13" s="8">
        <v>5003613512</v>
      </c>
      <c r="C13">
        <v>5116667562</v>
      </c>
      <c r="D13" s="16">
        <v>499.24</v>
      </c>
    </row>
    <row r="14" spans="1:4" x14ac:dyDescent="0.35">
      <c r="A14" t="s">
        <v>352</v>
      </c>
      <c r="B14" s="8">
        <v>5003620754</v>
      </c>
      <c r="C14">
        <v>5116667563</v>
      </c>
      <c r="D14" s="16">
        <v>405</v>
      </c>
    </row>
    <row r="15" spans="1:4" x14ac:dyDescent="0.35">
      <c r="A15" t="s">
        <v>352</v>
      </c>
      <c r="B15" s="8">
        <v>5003621815</v>
      </c>
      <c r="C15">
        <v>5116667564</v>
      </c>
      <c r="D15" s="16">
        <v>1532.86</v>
      </c>
    </row>
    <row r="16" spans="1:4" x14ac:dyDescent="0.35">
      <c r="A16" t="s">
        <v>352</v>
      </c>
      <c r="B16" s="8">
        <v>5003623538</v>
      </c>
      <c r="C16">
        <v>5116667565</v>
      </c>
      <c r="D16" s="16">
        <v>1756.92</v>
      </c>
    </row>
    <row r="17" spans="1:4" x14ac:dyDescent="0.35">
      <c r="A17" t="s">
        <v>392</v>
      </c>
      <c r="B17" s="8">
        <v>2351665188</v>
      </c>
      <c r="C17">
        <v>5116664518</v>
      </c>
      <c r="D17" s="16">
        <v>143.76</v>
      </c>
    </row>
    <row r="18" spans="1:4" x14ac:dyDescent="0.35">
      <c r="A18" t="s">
        <v>392</v>
      </c>
      <c r="B18" s="8">
        <v>2351671007</v>
      </c>
      <c r="C18">
        <v>5116664518</v>
      </c>
      <c r="D18" s="16">
        <v>1135.8399999999999</v>
      </c>
    </row>
    <row r="19" spans="1:4" x14ac:dyDescent="0.35">
      <c r="A19" t="s">
        <v>392</v>
      </c>
      <c r="B19" s="8">
        <v>2351671008</v>
      </c>
      <c r="C19">
        <v>5116664519</v>
      </c>
      <c r="D19" s="16">
        <v>599.88</v>
      </c>
    </row>
    <row r="20" spans="1:4" x14ac:dyDescent="0.35">
      <c r="A20" t="s">
        <v>392</v>
      </c>
      <c r="B20" s="8">
        <v>2351671793</v>
      </c>
      <c r="C20">
        <v>5116664518</v>
      </c>
      <c r="D20" s="16">
        <v>2653.82</v>
      </c>
    </row>
    <row r="21" spans="1:4" x14ac:dyDescent="0.35">
      <c r="A21" t="s">
        <v>392</v>
      </c>
      <c r="B21" s="8">
        <v>2351671796</v>
      </c>
      <c r="C21">
        <v>5116664519</v>
      </c>
      <c r="D21" s="16">
        <v>5259.02</v>
      </c>
    </row>
    <row r="22" spans="1:4" x14ac:dyDescent="0.35">
      <c r="A22" t="s">
        <v>384</v>
      </c>
      <c r="B22" s="8">
        <v>5003584040</v>
      </c>
      <c r="C22">
        <v>5116664077</v>
      </c>
      <c r="D22" s="16">
        <v>418.86</v>
      </c>
    </row>
    <row r="23" spans="1:4" x14ac:dyDescent="0.35">
      <c r="A23" t="s">
        <v>384</v>
      </c>
      <c r="B23" s="8">
        <v>5003585682</v>
      </c>
      <c r="C23">
        <v>5116664078</v>
      </c>
      <c r="D23" s="16">
        <v>46.54</v>
      </c>
    </row>
    <row r="24" spans="1:4" x14ac:dyDescent="0.35">
      <c r="A24" t="s">
        <v>384</v>
      </c>
      <c r="B24" s="8">
        <v>5003592236</v>
      </c>
      <c r="C24">
        <v>5116664079</v>
      </c>
      <c r="D24" s="16">
        <v>93.08</v>
      </c>
    </row>
    <row r="25" spans="1:4" x14ac:dyDescent="0.35">
      <c r="A25" t="s">
        <v>384</v>
      </c>
      <c r="B25" s="8">
        <v>5003593662</v>
      </c>
      <c r="C25">
        <v>5116664180</v>
      </c>
      <c r="D25" s="16">
        <v>46.54</v>
      </c>
    </row>
    <row r="26" spans="1:4" x14ac:dyDescent="0.35">
      <c r="A26" t="s">
        <v>384</v>
      </c>
      <c r="B26" s="8">
        <v>5003598213</v>
      </c>
      <c r="C26">
        <v>5116664181</v>
      </c>
      <c r="D26" s="16">
        <v>46.54</v>
      </c>
    </row>
    <row r="27" spans="1:4" x14ac:dyDescent="0.35">
      <c r="A27" t="s">
        <v>384</v>
      </c>
      <c r="B27" s="8">
        <v>5003605239</v>
      </c>
      <c r="C27">
        <v>5116664182</v>
      </c>
      <c r="D27" s="16">
        <v>46.54</v>
      </c>
    </row>
    <row r="28" spans="1:4" x14ac:dyDescent="0.35">
      <c r="A28" t="s">
        <v>384</v>
      </c>
      <c r="B28" s="8">
        <v>5003607370</v>
      </c>
      <c r="C28">
        <v>5116664192</v>
      </c>
      <c r="D28" s="16">
        <v>9631.4000000000015</v>
      </c>
    </row>
    <row r="29" spans="1:4" x14ac:dyDescent="0.35">
      <c r="A29" t="s">
        <v>384</v>
      </c>
      <c r="B29" s="8">
        <v>5003607373</v>
      </c>
      <c r="C29">
        <v>5116664184</v>
      </c>
      <c r="D29" s="16">
        <v>325.77999999999997</v>
      </c>
    </row>
    <row r="30" spans="1:4" x14ac:dyDescent="0.35">
      <c r="A30" t="s">
        <v>362</v>
      </c>
      <c r="B30" s="8">
        <v>2351641181</v>
      </c>
      <c r="C30">
        <v>5116667953</v>
      </c>
      <c r="D30" s="16">
        <v>5.7</v>
      </c>
    </row>
    <row r="31" spans="1:4" x14ac:dyDescent="0.35">
      <c r="A31" t="s">
        <v>362</v>
      </c>
      <c r="B31" s="8">
        <v>2351648296</v>
      </c>
      <c r="C31">
        <v>5116667955</v>
      </c>
      <c r="D31" s="16">
        <v>24.3</v>
      </c>
    </row>
    <row r="32" spans="1:4" x14ac:dyDescent="0.35">
      <c r="A32" t="s">
        <v>362</v>
      </c>
      <c r="B32" s="8">
        <v>2351676430</v>
      </c>
      <c r="C32">
        <v>5116667960</v>
      </c>
      <c r="D32" s="16">
        <v>88.48</v>
      </c>
    </row>
    <row r="33" spans="1:4" x14ac:dyDescent="0.35">
      <c r="A33" t="s">
        <v>371</v>
      </c>
      <c r="B33" s="8">
        <v>2351663396</v>
      </c>
      <c r="C33">
        <v>5116655653</v>
      </c>
      <c r="D33" s="16">
        <v>204.24</v>
      </c>
    </row>
    <row r="34" spans="1:4" x14ac:dyDescent="0.35">
      <c r="A34" t="s">
        <v>371</v>
      </c>
      <c r="B34" s="8">
        <v>2351675118</v>
      </c>
      <c r="C34">
        <v>5116655653</v>
      </c>
      <c r="D34" s="16">
        <v>302.5</v>
      </c>
    </row>
    <row r="35" spans="1:4" x14ac:dyDescent="0.35">
      <c r="A35" t="s">
        <v>353</v>
      </c>
      <c r="B35" s="8">
        <v>5003497527</v>
      </c>
      <c r="C35">
        <v>5116667553</v>
      </c>
      <c r="D35" s="16">
        <v>39.4</v>
      </c>
    </row>
    <row r="36" spans="1:4" x14ac:dyDescent="0.35">
      <c r="A36" t="s">
        <v>354</v>
      </c>
      <c r="B36" s="8">
        <v>5003520592</v>
      </c>
      <c r="C36">
        <v>5116667554</v>
      </c>
      <c r="D36" s="16">
        <v>32.72</v>
      </c>
    </row>
    <row r="37" spans="1:4" x14ac:dyDescent="0.35">
      <c r="A37" t="s">
        <v>354</v>
      </c>
      <c r="B37" s="8">
        <v>5003556635</v>
      </c>
      <c r="C37">
        <v>5116667556</v>
      </c>
      <c r="D37" s="16">
        <v>58.8</v>
      </c>
    </row>
    <row r="38" spans="1:4" x14ac:dyDescent="0.35">
      <c r="A38" t="s">
        <v>354</v>
      </c>
      <c r="B38" s="8">
        <v>5003567912</v>
      </c>
      <c r="C38">
        <v>5116667557</v>
      </c>
      <c r="D38" s="16">
        <v>76.52000000000001</v>
      </c>
    </row>
    <row r="39" spans="1:4" x14ac:dyDescent="0.35">
      <c r="A39" t="s">
        <v>354</v>
      </c>
      <c r="B39" s="8">
        <v>5003573839</v>
      </c>
      <c r="C39">
        <v>5116667558</v>
      </c>
      <c r="D39" s="16">
        <v>157.6</v>
      </c>
    </row>
    <row r="40" spans="1:4" x14ac:dyDescent="0.35">
      <c r="A40" t="s">
        <v>354</v>
      </c>
      <c r="B40" s="8">
        <v>5003605724</v>
      </c>
      <c r="C40">
        <v>5116664183</v>
      </c>
      <c r="D40" s="16">
        <v>117.9</v>
      </c>
    </row>
    <row r="41" spans="1:4" x14ac:dyDescent="0.35">
      <c r="A41" t="s">
        <v>354</v>
      </c>
      <c r="B41" s="8">
        <v>5003605724</v>
      </c>
      <c r="C41">
        <v>5116667560</v>
      </c>
      <c r="D41" s="16">
        <v>2716</v>
      </c>
    </row>
    <row r="42" spans="1:4" x14ac:dyDescent="0.35">
      <c r="A42" t="s">
        <v>354</v>
      </c>
      <c r="B42" s="8">
        <v>5003607728</v>
      </c>
      <c r="C42">
        <v>5116667561</v>
      </c>
      <c r="D42" s="16">
        <v>239.33</v>
      </c>
    </row>
    <row r="43" spans="1:4" x14ac:dyDescent="0.35">
      <c r="A43" t="s">
        <v>358</v>
      </c>
      <c r="B43" s="8">
        <v>5003614551</v>
      </c>
      <c r="C43">
        <v>5116667593</v>
      </c>
      <c r="D43" s="16">
        <v>22780.799999999999</v>
      </c>
    </row>
    <row r="44" spans="1:4" x14ac:dyDescent="0.35">
      <c r="A44" t="s">
        <v>358</v>
      </c>
      <c r="B44" s="8">
        <v>5003614579</v>
      </c>
      <c r="C44">
        <v>5116667594</v>
      </c>
      <c r="D44" s="16">
        <v>25535.599999999999</v>
      </c>
    </row>
    <row r="45" spans="1:4" x14ac:dyDescent="0.35">
      <c r="A45" t="s">
        <v>378</v>
      </c>
      <c r="B45" s="8">
        <v>5003587373</v>
      </c>
      <c r="C45">
        <v>5116654978</v>
      </c>
      <c r="D45" s="16">
        <v>27.5</v>
      </c>
    </row>
    <row r="46" spans="1:4" x14ac:dyDescent="0.35">
      <c r="A46" t="s">
        <v>382</v>
      </c>
      <c r="B46" s="8">
        <v>5003614416</v>
      </c>
      <c r="C46">
        <v>5116664185</v>
      </c>
      <c r="D46" s="16">
        <v>25628.400000000001</v>
      </c>
    </row>
    <row r="47" spans="1:4" x14ac:dyDescent="0.35">
      <c r="A47" t="s">
        <v>360</v>
      </c>
      <c r="B47" s="8">
        <v>5003634382</v>
      </c>
      <c r="C47">
        <v>5116667567</v>
      </c>
      <c r="D47" s="16">
        <v>571.79999999999995</v>
      </c>
    </row>
    <row r="48" spans="1:4" x14ac:dyDescent="0.35">
      <c r="A48" t="s">
        <v>350</v>
      </c>
      <c r="B48" s="8">
        <v>5003527928</v>
      </c>
      <c r="C48">
        <v>5116660217</v>
      </c>
      <c r="D48" s="16">
        <v>1358</v>
      </c>
    </row>
    <row r="49" spans="1:4" x14ac:dyDescent="0.35">
      <c r="A49" t="s">
        <v>350</v>
      </c>
      <c r="B49" s="8">
        <v>5003564185</v>
      </c>
      <c r="C49">
        <v>5116660218</v>
      </c>
      <c r="D49" s="16">
        <v>16.920000000000002</v>
      </c>
    </row>
    <row r="50" spans="1:4" x14ac:dyDescent="0.35">
      <c r="A50" t="s">
        <v>350</v>
      </c>
      <c r="B50" s="8">
        <v>5003636516</v>
      </c>
      <c r="C50">
        <v>5116660331</v>
      </c>
      <c r="D50" s="16">
        <v>92.05</v>
      </c>
    </row>
    <row r="51" spans="1:4" x14ac:dyDescent="0.35">
      <c r="A51" t="s">
        <v>381</v>
      </c>
      <c r="B51" s="8">
        <v>5003400860</v>
      </c>
      <c r="C51">
        <v>5116664073</v>
      </c>
      <c r="D51" s="16">
        <v>6391.14</v>
      </c>
    </row>
    <row r="52" spans="1:4" x14ac:dyDescent="0.35">
      <c r="A52" t="s">
        <v>372</v>
      </c>
      <c r="B52" s="8">
        <v>2351668234</v>
      </c>
      <c r="C52">
        <v>5116655653</v>
      </c>
      <c r="D52" s="16">
        <v>2603.5</v>
      </c>
    </row>
    <row r="53" spans="1:4" x14ac:dyDescent="0.35">
      <c r="A53" t="s">
        <v>376</v>
      </c>
      <c r="B53" s="8">
        <v>5003642177</v>
      </c>
      <c r="C53">
        <v>5116660347</v>
      </c>
      <c r="D53" s="16">
        <v>1139.2</v>
      </c>
    </row>
    <row r="54" spans="1:4" x14ac:dyDescent="0.35">
      <c r="A54" t="s">
        <v>366</v>
      </c>
      <c r="B54" s="8">
        <v>5003613845</v>
      </c>
      <c r="C54">
        <v>5116654219</v>
      </c>
      <c r="D54" s="16">
        <v>318.36</v>
      </c>
    </row>
    <row r="55" spans="1:4" x14ac:dyDescent="0.35">
      <c r="A55" t="s">
        <v>366</v>
      </c>
      <c r="B55" s="8">
        <v>5003620622</v>
      </c>
      <c r="C55">
        <v>5116654219</v>
      </c>
      <c r="D55" s="16">
        <v>3769.76</v>
      </c>
    </row>
    <row r="56" spans="1:4" x14ac:dyDescent="0.35">
      <c r="A56" t="s">
        <v>374</v>
      </c>
      <c r="B56" s="8">
        <v>5003611213</v>
      </c>
      <c r="C56">
        <v>5116660347</v>
      </c>
      <c r="D56" s="16">
        <v>13881.37</v>
      </c>
    </row>
    <row r="57" spans="1:4" x14ac:dyDescent="0.35">
      <c r="A57" t="s">
        <v>374</v>
      </c>
      <c r="B57" s="8">
        <v>5003611224</v>
      </c>
      <c r="C57">
        <v>5116660347</v>
      </c>
      <c r="D57" s="16">
        <v>4778.3999999999996</v>
      </c>
    </row>
    <row r="58" spans="1:4" x14ac:dyDescent="0.35">
      <c r="A58" t="s">
        <v>374</v>
      </c>
      <c r="B58" s="8">
        <v>5003614304</v>
      </c>
      <c r="C58">
        <v>5116660347</v>
      </c>
      <c r="D58" s="16">
        <v>5742.36</v>
      </c>
    </row>
    <row r="59" spans="1:4" x14ac:dyDescent="0.35">
      <c r="A59" t="s">
        <v>374</v>
      </c>
      <c r="B59" s="8">
        <v>5003640603</v>
      </c>
      <c r="C59">
        <v>5116660347</v>
      </c>
      <c r="D59" s="16">
        <v>13176.64</v>
      </c>
    </row>
    <row r="60" spans="1:4" x14ac:dyDescent="0.35">
      <c r="A60" t="s">
        <v>377</v>
      </c>
      <c r="B60" s="8">
        <v>5003618674</v>
      </c>
      <c r="C60">
        <v>5116655369</v>
      </c>
      <c r="D60" s="16">
        <v>315.44</v>
      </c>
    </row>
    <row r="61" spans="1:4" x14ac:dyDescent="0.35">
      <c r="A61" t="s">
        <v>387</v>
      </c>
      <c r="B61" s="8">
        <v>5003554346</v>
      </c>
      <c r="C61">
        <v>5116664074</v>
      </c>
      <c r="D61" s="16">
        <v>46.54</v>
      </c>
    </row>
    <row r="62" spans="1:4" x14ac:dyDescent="0.35">
      <c r="A62" t="s">
        <v>387</v>
      </c>
      <c r="B62" s="8">
        <v>5003557853</v>
      </c>
      <c r="C62">
        <v>5116664075</v>
      </c>
      <c r="D62" s="16">
        <v>46.54</v>
      </c>
    </row>
    <row r="63" spans="1:4" x14ac:dyDescent="0.35">
      <c r="A63" t="s">
        <v>387</v>
      </c>
      <c r="B63" s="8">
        <v>5003560802</v>
      </c>
      <c r="C63">
        <v>5116664076</v>
      </c>
      <c r="D63" s="16">
        <v>46.54</v>
      </c>
    </row>
    <row r="64" spans="1:4" x14ac:dyDescent="0.35">
      <c r="A64" t="s">
        <v>387</v>
      </c>
      <c r="B64" s="8">
        <v>5003607373</v>
      </c>
      <c r="C64">
        <v>5116664184</v>
      </c>
      <c r="D64" s="16">
        <v>4024.55</v>
      </c>
    </row>
    <row r="65" spans="1:4" x14ac:dyDescent="0.35">
      <c r="A65" t="s">
        <v>383</v>
      </c>
      <c r="B65" s="8">
        <v>5003580407</v>
      </c>
      <c r="C65">
        <v>5116664192</v>
      </c>
      <c r="D65" s="16">
        <v>16.45</v>
      </c>
    </row>
    <row r="66" spans="1:4" x14ac:dyDescent="0.35">
      <c r="A66" t="s">
        <v>383</v>
      </c>
      <c r="B66" s="8">
        <v>5003615337</v>
      </c>
      <c r="C66">
        <v>5116664192</v>
      </c>
      <c r="D66" s="16">
        <v>111.6</v>
      </c>
    </row>
    <row r="67" spans="1:4" x14ac:dyDescent="0.35">
      <c r="A67" t="s">
        <v>383</v>
      </c>
      <c r="B67" s="8">
        <v>5003618561</v>
      </c>
      <c r="C67">
        <v>5116664192</v>
      </c>
      <c r="D67" s="16">
        <v>1384.8000000000002</v>
      </c>
    </row>
    <row r="68" spans="1:4" x14ac:dyDescent="0.35">
      <c r="A68" t="s">
        <v>383</v>
      </c>
      <c r="B68" s="8">
        <v>5003627825</v>
      </c>
      <c r="C68">
        <v>5116664192</v>
      </c>
      <c r="D68" s="16">
        <v>4794.72</v>
      </c>
    </row>
    <row r="69" spans="1:4" x14ac:dyDescent="0.35">
      <c r="A69" t="s">
        <v>395</v>
      </c>
      <c r="B69" s="8">
        <v>2351667820</v>
      </c>
      <c r="C69">
        <v>5116664519</v>
      </c>
      <c r="D69" s="16">
        <v>151.08000000000001</v>
      </c>
    </row>
    <row r="70" spans="1:4" x14ac:dyDescent="0.35">
      <c r="A70" t="s">
        <v>364</v>
      </c>
      <c r="B70" s="8">
        <v>2351632982</v>
      </c>
      <c r="C70">
        <v>5116667950</v>
      </c>
      <c r="D70" s="16">
        <v>513.24</v>
      </c>
    </row>
    <row r="71" spans="1:4" x14ac:dyDescent="0.35">
      <c r="A71" t="s">
        <v>364</v>
      </c>
      <c r="B71" s="8">
        <v>2351636021</v>
      </c>
      <c r="C71">
        <v>5116667951</v>
      </c>
      <c r="D71" s="16">
        <v>1539.72</v>
      </c>
    </row>
    <row r="72" spans="1:4" x14ac:dyDescent="0.35">
      <c r="A72" t="s">
        <v>364</v>
      </c>
      <c r="B72" s="8">
        <v>2351647844</v>
      </c>
      <c r="C72">
        <v>5116667954</v>
      </c>
      <c r="D72" s="16">
        <v>2052.96</v>
      </c>
    </row>
    <row r="73" spans="1:4" x14ac:dyDescent="0.35">
      <c r="A73" t="s">
        <v>380</v>
      </c>
      <c r="B73" s="8">
        <v>5003642272</v>
      </c>
      <c r="C73">
        <v>5116655380</v>
      </c>
      <c r="D73" s="16">
        <v>497.75</v>
      </c>
    </row>
    <row r="74" spans="1:4" x14ac:dyDescent="0.35">
      <c r="A74" t="s">
        <v>363</v>
      </c>
      <c r="B74" s="8">
        <v>2351667069</v>
      </c>
      <c r="C74">
        <v>5116667958</v>
      </c>
      <c r="D74" s="16">
        <v>4425.6899999999996</v>
      </c>
    </row>
    <row r="75" spans="1:4" x14ac:dyDescent="0.35">
      <c r="A75" t="s">
        <v>391</v>
      </c>
      <c r="B75" s="8">
        <v>2351663940</v>
      </c>
      <c r="C75">
        <v>5116664518</v>
      </c>
      <c r="D75" s="16">
        <v>1408.32</v>
      </c>
    </row>
    <row r="76" spans="1:4" x14ac:dyDescent="0.35">
      <c r="A76" t="s">
        <v>391</v>
      </c>
      <c r="B76" s="8">
        <v>2351664191</v>
      </c>
      <c r="C76">
        <v>5116664518</v>
      </c>
      <c r="D76" s="16">
        <v>1119.3599999999999</v>
      </c>
    </row>
    <row r="77" spans="1:4" x14ac:dyDescent="0.35">
      <c r="A77" t="s">
        <v>375</v>
      </c>
      <c r="B77" s="8">
        <v>5003618561</v>
      </c>
      <c r="C77">
        <v>5116660347</v>
      </c>
      <c r="D77" s="16">
        <v>1787.1</v>
      </c>
    </row>
    <row r="78" spans="1:4" x14ac:dyDescent="0.35">
      <c r="A78" t="s">
        <v>375</v>
      </c>
      <c r="B78" s="8">
        <v>5003630470</v>
      </c>
      <c r="C78">
        <v>5116660347</v>
      </c>
      <c r="D78" s="16">
        <v>408.72</v>
      </c>
    </row>
    <row r="79" spans="1:4" x14ac:dyDescent="0.35">
      <c r="A79" t="s">
        <v>367</v>
      </c>
      <c r="B79" s="8">
        <v>5003618574</v>
      </c>
      <c r="C79">
        <v>5116654219</v>
      </c>
      <c r="D79" s="16">
        <v>29632.18</v>
      </c>
    </row>
    <row r="80" spans="1:4" x14ac:dyDescent="0.35">
      <c r="A80" t="s">
        <v>368</v>
      </c>
      <c r="B80" s="8">
        <v>5003618574</v>
      </c>
      <c r="C80">
        <v>5116654219</v>
      </c>
      <c r="D80" s="16">
        <v>12271.8</v>
      </c>
    </row>
    <row r="81" spans="1:4" x14ac:dyDescent="0.35">
      <c r="A81" t="s">
        <v>368</v>
      </c>
      <c r="B81" s="8">
        <v>5003619201</v>
      </c>
      <c r="C81">
        <v>5116654219</v>
      </c>
      <c r="D81" s="16">
        <v>17980.080000000002</v>
      </c>
    </row>
    <row r="82" spans="1:4" x14ac:dyDescent="0.35">
      <c r="A82" t="s">
        <v>365</v>
      </c>
      <c r="B82" s="8">
        <v>5003606166</v>
      </c>
      <c r="C82">
        <v>5116654219</v>
      </c>
      <c r="D82" s="16">
        <v>74999.520000000004</v>
      </c>
    </row>
    <row r="83" spans="1:4" x14ac:dyDescent="0.35">
      <c r="A83" t="s">
        <v>398</v>
      </c>
      <c r="B83" s="8">
        <v>5003606166</v>
      </c>
      <c r="C83">
        <v>5116661490</v>
      </c>
      <c r="D83" s="16">
        <v>143820.48000000001</v>
      </c>
    </row>
    <row r="84" spans="1:4" x14ac:dyDescent="0.35">
      <c r="A84" t="s">
        <v>361</v>
      </c>
      <c r="B84" s="8">
        <v>5003623596</v>
      </c>
      <c r="C84">
        <v>5116667566</v>
      </c>
      <c r="D84" s="16">
        <v>318.02999999999997</v>
      </c>
    </row>
    <row r="85" spans="1:4" x14ac:dyDescent="0.35">
      <c r="A85" t="s">
        <v>351</v>
      </c>
      <c r="B85" s="8">
        <v>5003598214</v>
      </c>
      <c r="C85">
        <v>5116660219</v>
      </c>
      <c r="D85" s="16">
        <v>8380.2000000000007</v>
      </c>
    </row>
    <row r="86" spans="1:4" x14ac:dyDescent="0.35">
      <c r="A86" t="s">
        <v>351</v>
      </c>
      <c r="B86" s="8">
        <v>5003603610</v>
      </c>
      <c r="C86">
        <v>5116660330</v>
      </c>
      <c r="D86" s="16">
        <v>668.45</v>
      </c>
    </row>
    <row r="87" spans="1:4" x14ac:dyDescent="0.35">
      <c r="A87" t="s">
        <v>396</v>
      </c>
      <c r="B87" s="8">
        <v>2351678640</v>
      </c>
      <c r="C87">
        <v>5116664519</v>
      </c>
      <c r="D87" s="16">
        <v>2654.47</v>
      </c>
    </row>
    <row r="88" spans="1:4" x14ac:dyDescent="0.35">
      <c r="A88" t="s">
        <v>389</v>
      </c>
      <c r="B88" s="8">
        <v>2351575136</v>
      </c>
      <c r="C88">
        <v>5116664518</v>
      </c>
      <c r="D88" s="16">
        <v>1010.66</v>
      </c>
    </row>
    <row r="89" spans="1:4" x14ac:dyDescent="0.35">
      <c r="A89" t="s">
        <v>389</v>
      </c>
      <c r="B89" s="8">
        <v>2351647528</v>
      </c>
      <c r="C89">
        <v>5116664518</v>
      </c>
      <c r="D89" s="16">
        <v>386.16</v>
      </c>
    </row>
    <row r="90" spans="1:4" x14ac:dyDescent="0.35">
      <c r="A90" t="s">
        <v>389</v>
      </c>
      <c r="B90" s="8">
        <v>2351663395</v>
      </c>
      <c r="C90">
        <v>5116664518</v>
      </c>
      <c r="D90" s="16">
        <v>193.08</v>
      </c>
    </row>
    <row r="91" spans="1:4" x14ac:dyDescent="0.35">
      <c r="A91" t="s">
        <v>389</v>
      </c>
      <c r="B91" s="8">
        <v>2351671793</v>
      </c>
      <c r="C91">
        <v>5116664518</v>
      </c>
      <c r="D91" s="16">
        <v>2984.4500000000003</v>
      </c>
    </row>
    <row r="92" spans="1:4" x14ac:dyDescent="0.35">
      <c r="A92" t="s">
        <v>390</v>
      </c>
      <c r="B92" s="8">
        <v>2351649162</v>
      </c>
      <c r="C92">
        <v>5116664518</v>
      </c>
      <c r="D92" s="16">
        <v>929.21</v>
      </c>
    </row>
    <row r="93" spans="1:4" x14ac:dyDescent="0.35">
      <c r="A93" t="s">
        <v>390</v>
      </c>
      <c r="B93" s="8">
        <v>2351671791</v>
      </c>
      <c r="C93">
        <v>5116664518</v>
      </c>
      <c r="D93" s="16">
        <v>2181</v>
      </c>
    </row>
    <row r="94" spans="1:4" x14ac:dyDescent="0.35">
      <c r="A94" t="s">
        <v>390</v>
      </c>
      <c r="B94" s="8">
        <v>2351677263</v>
      </c>
      <c r="C94">
        <v>5116664518</v>
      </c>
      <c r="D94" s="16">
        <v>234.8</v>
      </c>
    </row>
    <row r="95" spans="1:4" x14ac:dyDescent="0.35">
      <c r="A95" t="s">
        <v>393</v>
      </c>
      <c r="B95" s="8">
        <v>2351669094</v>
      </c>
      <c r="C95">
        <v>5116664518</v>
      </c>
      <c r="D95" s="16">
        <v>1013.53</v>
      </c>
    </row>
    <row r="96" spans="1:4" x14ac:dyDescent="0.35">
      <c r="A96" t="s">
        <v>356</v>
      </c>
      <c r="B96" s="8">
        <v>5003507920</v>
      </c>
      <c r="C96">
        <v>5116667590</v>
      </c>
      <c r="D96" s="16">
        <v>90531.92</v>
      </c>
    </row>
    <row r="97" spans="1:4" x14ac:dyDescent="0.35">
      <c r="A97" t="s">
        <v>356</v>
      </c>
      <c r="B97" s="8">
        <v>5003507939</v>
      </c>
      <c r="C97">
        <v>5116667591</v>
      </c>
      <c r="D97" s="16">
        <v>22632.98</v>
      </c>
    </row>
    <row r="98" spans="1:4" x14ac:dyDescent="0.35">
      <c r="A98" t="s">
        <v>397</v>
      </c>
      <c r="B98" s="8">
        <v>5003603516</v>
      </c>
      <c r="C98">
        <v>5116661490</v>
      </c>
      <c r="D98" s="16">
        <v>16691.04</v>
      </c>
    </row>
    <row r="99" spans="1:4" x14ac:dyDescent="0.35">
      <c r="A99" t="s">
        <v>397</v>
      </c>
      <c r="B99" s="8">
        <v>5003631183</v>
      </c>
      <c r="C99">
        <v>5116661490</v>
      </c>
      <c r="D99" s="16">
        <v>28681.200000000001</v>
      </c>
    </row>
    <row r="100" spans="1:4" x14ac:dyDescent="0.35">
      <c r="A100" t="s">
        <v>397</v>
      </c>
      <c r="B100" s="8">
        <v>5003644767</v>
      </c>
      <c r="C100">
        <v>5116661490</v>
      </c>
      <c r="D100" s="16">
        <v>27051.599999999999</v>
      </c>
    </row>
    <row r="101" spans="1:4" x14ac:dyDescent="0.35">
      <c r="A101" t="s">
        <v>357</v>
      </c>
      <c r="B101" s="8">
        <v>5003611200</v>
      </c>
      <c r="C101">
        <v>5116667592</v>
      </c>
      <c r="D101" s="16">
        <v>25513.3</v>
      </c>
    </row>
    <row r="102" spans="1:4" x14ac:dyDescent="0.35">
      <c r="A102" t="s">
        <v>394</v>
      </c>
      <c r="B102" s="8">
        <v>2351671793</v>
      </c>
      <c r="C102">
        <v>5116664518</v>
      </c>
      <c r="D102" s="16">
        <v>4336.8</v>
      </c>
    </row>
    <row r="103" spans="1:4" x14ac:dyDescent="0.35">
      <c r="A103" t="s">
        <v>385</v>
      </c>
      <c r="B103" s="8">
        <v>5003611200</v>
      </c>
      <c r="C103">
        <v>5116664192</v>
      </c>
      <c r="D103" s="16">
        <v>20410.64</v>
      </c>
    </row>
    <row r="104" spans="1:4" x14ac:dyDescent="0.35">
      <c r="A104" t="s">
        <v>346</v>
      </c>
      <c r="D104" s="16">
        <v>763767.43000000017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A9B02-3E3C-4C3F-AE4F-7045C2AC3373}">
  <sheetPr codeName="Sheet7"/>
  <dimension ref="A3:C80"/>
  <sheetViews>
    <sheetView workbookViewId="0">
      <selection activeCell="A3" sqref="A3"/>
    </sheetView>
  </sheetViews>
  <sheetFormatPr defaultRowHeight="14.5" x14ac:dyDescent="0.35"/>
  <cols>
    <col min="1" max="1" width="14.6328125" bestFit="1" customWidth="1"/>
    <col min="2" max="2" width="10.81640625" bestFit="1" customWidth="1"/>
    <col min="3" max="3" width="17.90625" bestFit="1" customWidth="1"/>
  </cols>
  <sheetData>
    <row r="3" spans="1:3" x14ac:dyDescent="0.35">
      <c r="A3" s="15" t="s">
        <v>3</v>
      </c>
      <c r="B3" s="15" t="s">
        <v>0</v>
      </c>
      <c r="C3" t="s">
        <v>347</v>
      </c>
    </row>
    <row r="4" spans="1:3" x14ac:dyDescent="0.35">
      <c r="A4" t="s">
        <v>369</v>
      </c>
      <c r="B4">
        <v>5116652061</v>
      </c>
      <c r="C4" s="16">
        <v>1947.3</v>
      </c>
    </row>
    <row r="5" spans="1:3" x14ac:dyDescent="0.35">
      <c r="A5" t="s">
        <v>359</v>
      </c>
      <c r="B5">
        <v>5116667595</v>
      </c>
      <c r="C5" s="16">
        <v>14340.6</v>
      </c>
    </row>
    <row r="6" spans="1:3" x14ac:dyDescent="0.35">
      <c r="A6" t="s">
        <v>386</v>
      </c>
      <c r="B6">
        <v>5116664192</v>
      </c>
      <c r="C6" s="16">
        <v>29350.799999999999</v>
      </c>
    </row>
    <row r="7" spans="1:3" x14ac:dyDescent="0.35">
      <c r="A7" t="s">
        <v>352</v>
      </c>
      <c r="B7">
        <v>5116667552</v>
      </c>
      <c r="C7" s="16">
        <v>975.4</v>
      </c>
    </row>
    <row r="8" spans="1:3" x14ac:dyDescent="0.35">
      <c r="B8">
        <v>5116667555</v>
      </c>
      <c r="C8" s="16">
        <v>214.92</v>
      </c>
    </row>
    <row r="9" spans="1:3" x14ac:dyDescent="0.35">
      <c r="B9">
        <v>5116667559</v>
      </c>
      <c r="C9" s="16">
        <v>222.8</v>
      </c>
    </row>
    <row r="10" spans="1:3" x14ac:dyDescent="0.35">
      <c r="B10">
        <v>5116667562</v>
      </c>
      <c r="C10" s="16">
        <v>499.24</v>
      </c>
    </row>
    <row r="11" spans="1:3" x14ac:dyDescent="0.35">
      <c r="B11">
        <v>5116667563</v>
      </c>
      <c r="C11" s="16">
        <v>405</v>
      </c>
    </row>
    <row r="12" spans="1:3" x14ac:dyDescent="0.35">
      <c r="B12">
        <v>5116667564</v>
      </c>
      <c r="C12" s="16">
        <v>1532.86</v>
      </c>
    </row>
    <row r="13" spans="1:3" x14ac:dyDescent="0.35">
      <c r="B13">
        <v>5116667565</v>
      </c>
      <c r="C13" s="16">
        <v>1756.92</v>
      </c>
    </row>
    <row r="14" spans="1:3" x14ac:dyDescent="0.35">
      <c r="A14" t="s">
        <v>392</v>
      </c>
      <c r="B14">
        <v>5116664518</v>
      </c>
      <c r="C14" s="16">
        <v>3933.42</v>
      </c>
    </row>
    <row r="15" spans="1:3" x14ac:dyDescent="0.35">
      <c r="B15">
        <v>5116664519</v>
      </c>
      <c r="C15" s="16">
        <v>5858.9000000000005</v>
      </c>
    </row>
    <row r="16" spans="1:3" x14ac:dyDescent="0.35">
      <c r="A16" t="s">
        <v>384</v>
      </c>
      <c r="B16">
        <v>5116664077</v>
      </c>
      <c r="C16" s="16">
        <v>418.86</v>
      </c>
    </row>
    <row r="17" spans="1:3" x14ac:dyDescent="0.35">
      <c r="B17">
        <v>5116664078</v>
      </c>
      <c r="C17" s="16">
        <v>46.54</v>
      </c>
    </row>
    <row r="18" spans="1:3" x14ac:dyDescent="0.35">
      <c r="B18">
        <v>5116664079</v>
      </c>
      <c r="C18" s="16">
        <v>93.08</v>
      </c>
    </row>
    <row r="19" spans="1:3" x14ac:dyDescent="0.35">
      <c r="B19">
        <v>5116664180</v>
      </c>
      <c r="C19" s="16">
        <v>46.54</v>
      </c>
    </row>
    <row r="20" spans="1:3" x14ac:dyDescent="0.35">
      <c r="B20">
        <v>5116664181</v>
      </c>
      <c r="C20" s="16">
        <v>46.54</v>
      </c>
    </row>
    <row r="21" spans="1:3" x14ac:dyDescent="0.35">
      <c r="B21">
        <v>5116664182</v>
      </c>
      <c r="C21" s="16">
        <v>46.54</v>
      </c>
    </row>
    <row r="22" spans="1:3" x14ac:dyDescent="0.35">
      <c r="B22">
        <v>5116664184</v>
      </c>
      <c r="C22" s="16">
        <v>325.77999999999997</v>
      </c>
    </row>
    <row r="23" spans="1:3" x14ac:dyDescent="0.35">
      <c r="B23">
        <v>5116664192</v>
      </c>
      <c r="C23" s="16">
        <v>9631.4000000000015</v>
      </c>
    </row>
    <row r="24" spans="1:3" x14ac:dyDescent="0.35">
      <c r="A24" t="s">
        <v>362</v>
      </c>
      <c r="B24">
        <v>5116667953</v>
      </c>
      <c r="C24" s="16">
        <v>5.7</v>
      </c>
    </row>
    <row r="25" spans="1:3" x14ac:dyDescent="0.35">
      <c r="B25">
        <v>5116667955</v>
      </c>
      <c r="C25" s="16">
        <v>24.3</v>
      </c>
    </row>
    <row r="26" spans="1:3" x14ac:dyDescent="0.35">
      <c r="B26">
        <v>5116667960</v>
      </c>
      <c r="C26" s="16">
        <v>88.48</v>
      </c>
    </row>
    <row r="27" spans="1:3" x14ac:dyDescent="0.35">
      <c r="A27" t="s">
        <v>371</v>
      </c>
      <c r="B27">
        <v>5116655653</v>
      </c>
      <c r="C27" s="16">
        <v>506.74</v>
      </c>
    </row>
    <row r="28" spans="1:3" x14ac:dyDescent="0.35">
      <c r="A28" t="s">
        <v>353</v>
      </c>
      <c r="B28">
        <v>5116667553</v>
      </c>
      <c r="C28" s="16">
        <v>39.4</v>
      </c>
    </row>
    <row r="29" spans="1:3" x14ac:dyDescent="0.35">
      <c r="A29" t="s">
        <v>354</v>
      </c>
      <c r="B29">
        <v>5116664183</v>
      </c>
      <c r="C29" s="16">
        <v>117.9</v>
      </c>
    </row>
    <row r="30" spans="1:3" x14ac:dyDescent="0.35">
      <c r="B30">
        <v>5116667554</v>
      </c>
      <c r="C30" s="16">
        <v>32.72</v>
      </c>
    </row>
    <row r="31" spans="1:3" x14ac:dyDescent="0.35">
      <c r="B31">
        <v>5116667556</v>
      </c>
      <c r="C31" s="16">
        <v>58.8</v>
      </c>
    </row>
    <row r="32" spans="1:3" x14ac:dyDescent="0.35">
      <c r="B32">
        <v>5116667557</v>
      </c>
      <c r="C32" s="16">
        <v>76.52000000000001</v>
      </c>
    </row>
    <row r="33" spans="1:3" x14ac:dyDescent="0.35">
      <c r="B33">
        <v>5116667558</v>
      </c>
      <c r="C33" s="16">
        <v>157.6</v>
      </c>
    </row>
    <row r="34" spans="1:3" x14ac:dyDescent="0.35">
      <c r="B34">
        <v>5116667560</v>
      </c>
      <c r="C34" s="16">
        <v>2716</v>
      </c>
    </row>
    <row r="35" spans="1:3" x14ac:dyDescent="0.35">
      <c r="B35">
        <v>5116667561</v>
      </c>
      <c r="C35" s="16">
        <v>239.33</v>
      </c>
    </row>
    <row r="36" spans="1:3" x14ac:dyDescent="0.35">
      <c r="A36" t="s">
        <v>358</v>
      </c>
      <c r="B36">
        <v>5116667593</v>
      </c>
      <c r="C36" s="16">
        <v>22780.799999999999</v>
      </c>
    </row>
    <row r="37" spans="1:3" x14ac:dyDescent="0.35">
      <c r="B37">
        <v>5116667594</v>
      </c>
      <c r="C37" s="16">
        <v>25535.599999999999</v>
      </c>
    </row>
    <row r="38" spans="1:3" x14ac:dyDescent="0.35">
      <c r="A38" t="s">
        <v>378</v>
      </c>
      <c r="B38">
        <v>5116654978</v>
      </c>
      <c r="C38" s="16">
        <v>27.5</v>
      </c>
    </row>
    <row r="39" spans="1:3" x14ac:dyDescent="0.35">
      <c r="A39" t="s">
        <v>382</v>
      </c>
      <c r="B39">
        <v>5116664185</v>
      </c>
      <c r="C39" s="16">
        <v>25628.400000000001</v>
      </c>
    </row>
    <row r="40" spans="1:3" x14ac:dyDescent="0.35">
      <c r="A40" t="s">
        <v>360</v>
      </c>
      <c r="B40">
        <v>5116667567</v>
      </c>
      <c r="C40" s="16">
        <v>571.79999999999995</v>
      </c>
    </row>
    <row r="41" spans="1:3" x14ac:dyDescent="0.35">
      <c r="A41" t="s">
        <v>350</v>
      </c>
      <c r="B41">
        <v>5116660217</v>
      </c>
      <c r="C41" s="16">
        <v>1358</v>
      </c>
    </row>
    <row r="42" spans="1:3" x14ac:dyDescent="0.35">
      <c r="B42">
        <v>5116660218</v>
      </c>
      <c r="C42" s="16">
        <v>16.920000000000002</v>
      </c>
    </row>
    <row r="43" spans="1:3" x14ac:dyDescent="0.35">
      <c r="B43">
        <v>5116660331</v>
      </c>
      <c r="C43" s="16">
        <v>92.05</v>
      </c>
    </row>
    <row r="44" spans="1:3" x14ac:dyDescent="0.35">
      <c r="A44" t="s">
        <v>381</v>
      </c>
      <c r="B44">
        <v>5116664073</v>
      </c>
      <c r="C44" s="16">
        <v>6391.14</v>
      </c>
    </row>
    <row r="45" spans="1:3" x14ac:dyDescent="0.35">
      <c r="A45" t="s">
        <v>372</v>
      </c>
      <c r="B45">
        <v>5116655653</v>
      </c>
      <c r="C45" s="16">
        <v>2603.5</v>
      </c>
    </row>
    <row r="46" spans="1:3" x14ac:dyDescent="0.35">
      <c r="A46" t="s">
        <v>376</v>
      </c>
      <c r="B46">
        <v>5116660347</v>
      </c>
      <c r="C46" s="16">
        <v>1139.2</v>
      </c>
    </row>
    <row r="47" spans="1:3" x14ac:dyDescent="0.35">
      <c r="A47" t="s">
        <v>366</v>
      </c>
      <c r="B47">
        <v>5116654219</v>
      </c>
      <c r="C47" s="16">
        <v>4088.12</v>
      </c>
    </row>
    <row r="48" spans="1:3" x14ac:dyDescent="0.35">
      <c r="A48" t="s">
        <v>374</v>
      </c>
      <c r="B48">
        <v>5116660347</v>
      </c>
      <c r="C48" s="16">
        <v>37578.770000000004</v>
      </c>
    </row>
    <row r="49" spans="1:3" x14ac:dyDescent="0.35">
      <c r="A49" t="s">
        <v>377</v>
      </c>
      <c r="B49">
        <v>5116655369</v>
      </c>
      <c r="C49" s="16">
        <v>315.44</v>
      </c>
    </row>
    <row r="50" spans="1:3" x14ac:dyDescent="0.35">
      <c r="A50" t="s">
        <v>387</v>
      </c>
      <c r="B50">
        <v>5116664074</v>
      </c>
      <c r="C50" s="16">
        <v>46.54</v>
      </c>
    </row>
    <row r="51" spans="1:3" x14ac:dyDescent="0.35">
      <c r="B51">
        <v>5116664075</v>
      </c>
      <c r="C51" s="16">
        <v>46.54</v>
      </c>
    </row>
    <row r="52" spans="1:3" x14ac:dyDescent="0.35">
      <c r="B52">
        <v>5116664076</v>
      </c>
      <c r="C52" s="16">
        <v>46.54</v>
      </c>
    </row>
    <row r="53" spans="1:3" x14ac:dyDescent="0.35">
      <c r="B53">
        <v>5116664184</v>
      </c>
      <c r="C53" s="16">
        <v>4024.55</v>
      </c>
    </row>
    <row r="54" spans="1:3" x14ac:dyDescent="0.35">
      <c r="A54" t="s">
        <v>383</v>
      </c>
      <c r="B54">
        <v>5116664192</v>
      </c>
      <c r="C54" s="16">
        <v>6307.57</v>
      </c>
    </row>
    <row r="55" spans="1:3" x14ac:dyDescent="0.35">
      <c r="A55" t="s">
        <v>395</v>
      </c>
      <c r="B55">
        <v>5116664519</v>
      </c>
      <c r="C55" s="16">
        <v>151.08000000000001</v>
      </c>
    </row>
    <row r="56" spans="1:3" x14ac:dyDescent="0.35">
      <c r="A56" t="s">
        <v>364</v>
      </c>
      <c r="B56">
        <v>5116667950</v>
      </c>
      <c r="C56" s="16">
        <v>513.24</v>
      </c>
    </row>
    <row r="57" spans="1:3" x14ac:dyDescent="0.35">
      <c r="B57">
        <v>5116667951</v>
      </c>
      <c r="C57" s="16">
        <v>1539.72</v>
      </c>
    </row>
    <row r="58" spans="1:3" x14ac:dyDescent="0.35">
      <c r="B58">
        <v>5116667954</v>
      </c>
      <c r="C58" s="16">
        <v>2052.96</v>
      </c>
    </row>
    <row r="59" spans="1:3" x14ac:dyDescent="0.35">
      <c r="A59" t="s">
        <v>380</v>
      </c>
      <c r="B59">
        <v>5116655380</v>
      </c>
      <c r="C59" s="16">
        <v>497.75</v>
      </c>
    </row>
    <row r="60" spans="1:3" x14ac:dyDescent="0.35">
      <c r="A60" t="s">
        <v>363</v>
      </c>
      <c r="B60">
        <v>5116667958</v>
      </c>
      <c r="C60" s="16">
        <v>4425.6899999999996</v>
      </c>
    </row>
    <row r="61" spans="1:3" x14ac:dyDescent="0.35">
      <c r="A61" t="s">
        <v>391</v>
      </c>
      <c r="B61">
        <v>5116664518</v>
      </c>
      <c r="C61" s="16">
        <v>2527.6799999999998</v>
      </c>
    </row>
    <row r="62" spans="1:3" x14ac:dyDescent="0.35">
      <c r="A62" t="s">
        <v>375</v>
      </c>
      <c r="B62">
        <v>5116660347</v>
      </c>
      <c r="C62" s="16">
        <v>2195.8199999999997</v>
      </c>
    </row>
    <row r="63" spans="1:3" x14ac:dyDescent="0.35">
      <c r="A63" t="s">
        <v>367</v>
      </c>
      <c r="B63">
        <v>5116654219</v>
      </c>
      <c r="C63" s="16">
        <v>29632.18</v>
      </c>
    </row>
    <row r="64" spans="1:3" x14ac:dyDescent="0.35">
      <c r="A64" t="s">
        <v>368</v>
      </c>
      <c r="B64">
        <v>5116654219</v>
      </c>
      <c r="C64" s="16">
        <v>30251.88</v>
      </c>
    </row>
    <row r="65" spans="1:3" x14ac:dyDescent="0.35">
      <c r="A65" t="s">
        <v>365</v>
      </c>
      <c r="B65">
        <v>5116654219</v>
      </c>
      <c r="C65" s="16">
        <v>74999.520000000004</v>
      </c>
    </row>
    <row r="66" spans="1:3" x14ac:dyDescent="0.35">
      <c r="A66" t="s">
        <v>398</v>
      </c>
      <c r="B66">
        <v>5116661490</v>
      </c>
      <c r="C66" s="16">
        <v>143820.48000000001</v>
      </c>
    </row>
    <row r="67" spans="1:3" x14ac:dyDescent="0.35">
      <c r="A67" t="s">
        <v>361</v>
      </c>
      <c r="B67">
        <v>5116667566</v>
      </c>
      <c r="C67" s="16">
        <v>318.02999999999997</v>
      </c>
    </row>
    <row r="68" spans="1:3" x14ac:dyDescent="0.35">
      <c r="A68" t="s">
        <v>351</v>
      </c>
      <c r="B68">
        <v>5116660219</v>
      </c>
      <c r="C68" s="16">
        <v>8380.2000000000007</v>
      </c>
    </row>
    <row r="69" spans="1:3" x14ac:dyDescent="0.35">
      <c r="B69">
        <v>5116660330</v>
      </c>
      <c r="C69" s="16">
        <v>668.45</v>
      </c>
    </row>
    <row r="70" spans="1:3" x14ac:dyDescent="0.35">
      <c r="A70" t="s">
        <v>396</v>
      </c>
      <c r="B70">
        <v>5116664519</v>
      </c>
      <c r="C70" s="16">
        <v>2654.47</v>
      </c>
    </row>
    <row r="71" spans="1:3" x14ac:dyDescent="0.35">
      <c r="A71" t="s">
        <v>389</v>
      </c>
      <c r="B71">
        <v>5116664518</v>
      </c>
      <c r="C71" s="16">
        <v>4574.3499999999995</v>
      </c>
    </row>
    <row r="72" spans="1:3" x14ac:dyDescent="0.35">
      <c r="A72" t="s">
        <v>390</v>
      </c>
      <c r="B72">
        <v>5116664518</v>
      </c>
      <c r="C72" s="16">
        <v>3345.01</v>
      </c>
    </row>
    <row r="73" spans="1:3" x14ac:dyDescent="0.35">
      <c r="A73" t="s">
        <v>393</v>
      </c>
      <c r="B73">
        <v>5116664518</v>
      </c>
      <c r="C73" s="16">
        <v>1013.53</v>
      </c>
    </row>
    <row r="74" spans="1:3" x14ac:dyDescent="0.35">
      <c r="A74" t="s">
        <v>356</v>
      </c>
      <c r="B74">
        <v>5116667590</v>
      </c>
      <c r="C74" s="16">
        <v>90531.92</v>
      </c>
    </row>
    <row r="75" spans="1:3" x14ac:dyDescent="0.35">
      <c r="B75">
        <v>5116667591</v>
      </c>
      <c r="C75" s="16">
        <v>22632.98</v>
      </c>
    </row>
    <row r="76" spans="1:3" x14ac:dyDescent="0.35">
      <c r="A76" t="s">
        <v>397</v>
      </c>
      <c r="B76">
        <v>5116661490</v>
      </c>
      <c r="C76" s="16">
        <v>72423.839999999997</v>
      </c>
    </row>
    <row r="77" spans="1:3" x14ac:dyDescent="0.35">
      <c r="A77" t="s">
        <v>357</v>
      </c>
      <c r="B77">
        <v>5116667592</v>
      </c>
      <c r="C77" s="16">
        <v>25513.3</v>
      </c>
    </row>
    <row r="78" spans="1:3" x14ac:dyDescent="0.35">
      <c r="A78" t="s">
        <v>394</v>
      </c>
      <c r="B78">
        <v>5116664518</v>
      </c>
      <c r="C78" s="16">
        <v>4336.8</v>
      </c>
    </row>
    <row r="79" spans="1:3" x14ac:dyDescent="0.35">
      <c r="A79" t="s">
        <v>385</v>
      </c>
      <c r="B79">
        <v>5116664192</v>
      </c>
      <c r="C79" s="16">
        <v>20410.64</v>
      </c>
    </row>
    <row r="80" spans="1:3" x14ac:dyDescent="0.35">
      <c r="A80" t="s">
        <v>346</v>
      </c>
      <c r="C80" s="16">
        <v>763767.43000000017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E087-E184-4BAA-BD26-AB8A52B8B0AC}">
  <sheetPr codeName="Sheet4"/>
  <dimension ref="A1:L5"/>
  <sheetViews>
    <sheetView workbookViewId="0">
      <selection sqref="A1:L5"/>
    </sheetView>
  </sheetViews>
  <sheetFormatPr defaultRowHeight="14.5" x14ac:dyDescent="0.35"/>
  <cols>
    <col min="1" max="1" width="10.81640625" bestFit="1" customWidth="1"/>
    <col min="2" max="2" width="96.26953125" bestFit="1" customWidth="1"/>
    <col min="3" max="3" width="7.54296875" bestFit="1" customWidth="1"/>
    <col min="4" max="4" width="14.7265625" bestFit="1" customWidth="1"/>
    <col min="5" max="5" width="11.453125" bestFit="1" customWidth="1"/>
    <col min="6" max="6" width="10.81640625" bestFit="1" customWidth="1"/>
    <col min="7" max="7" width="11.7265625" bestFit="1" customWidth="1"/>
    <col min="8" max="8" width="10.453125" bestFit="1" customWidth="1"/>
    <col min="9" max="9" width="10.7265625" bestFit="1" customWidth="1"/>
    <col min="10" max="10" width="12.7265625" bestFit="1" customWidth="1"/>
    <col min="11" max="11" width="20.1796875" bestFit="1" customWidth="1"/>
    <col min="12" max="12" width="8.81640625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3" t="s">
        <v>5</v>
      </c>
      <c r="G1" s="1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5" t="s">
        <v>11</v>
      </c>
    </row>
    <row r="2" spans="1:12" x14ac:dyDescent="0.35">
      <c r="A2">
        <v>5116660346</v>
      </c>
      <c r="B2" t="s">
        <v>174</v>
      </c>
      <c r="C2">
        <v>1</v>
      </c>
      <c r="D2" s="6" t="s">
        <v>175</v>
      </c>
      <c r="E2" s="7">
        <v>44942</v>
      </c>
      <c r="F2" s="8">
        <v>9900043512</v>
      </c>
      <c r="G2" t="s">
        <v>58</v>
      </c>
      <c r="H2" s="9">
        <v>2551.33</v>
      </c>
      <c r="I2" s="10" t="s">
        <v>176</v>
      </c>
      <c r="J2" s="9" t="s">
        <v>177</v>
      </c>
      <c r="K2" s="11" t="s">
        <v>177</v>
      </c>
      <c r="L2" s="7">
        <v>44942</v>
      </c>
    </row>
    <row r="3" spans="1:12" x14ac:dyDescent="0.35">
      <c r="A3">
        <v>5116664220</v>
      </c>
      <c r="B3" t="s">
        <v>243</v>
      </c>
      <c r="C3">
        <v>1</v>
      </c>
      <c r="D3" s="6" t="s">
        <v>179</v>
      </c>
      <c r="E3" s="7">
        <v>44943</v>
      </c>
      <c r="F3" s="8">
        <v>9900043467</v>
      </c>
      <c r="G3" t="s">
        <v>244</v>
      </c>
      <c r="H3" s="9">
        <v>1</v>
      </c>
      <c r="I3" s="10" t="s">
        <v>245</v>
      </c>
      <c r="J3" s="9" t="s">
        <v>246</v>
      </c>
      <c r="K3" s="11" t="s">
        <v>247</v>
      </c>
      <c r="L3" s="7">
        <v>44943</v>
      </c>
    </row>
    <row r="4" spans="1:12" x14ac:dyDescent="0.35">
      <c r="A4">
        <v>5116664220</v>
      </c>
      <c r="B4" t="s">
        <v>248</v>
      </c>
      <c r="C4">
        <v>2</v>
      </c>
      <c r="D4" s="6" t="s">
        <v>179</v>
      </c>
      <c r="E4" s="7">
        <v>44943</v>
      </c>
      <c r="F4" s="8">
        <v>9900043467</v>
      </c>
      <c r="G4" t="s">
        <v>249</v>
      </c>
      <c r="H4" s="9">
        <v>1</v>
      </c>
      <c r="I4" s="10" t="s">
        <v>250</v>
      </c>
      <c r="J4" s="9" t="s">
        <v>251</v>
      </c>
      <c r="K4" s="11" t="s">
        <v>247</v>
      </c>
      <c r="L4" s="7">
        <v>44943</v>
      </c>
    </row>
    <row r="5" spans="1:12" x14ac:dyDescent="0.35">
      <c r="A5">
        <v>5116664221</v>
      </c>
      <c r="B5" t="s">
        <v>252</v>
      </c>
      <c r="C5">
        <v>1</v>
      </c>
      <c r="D5" s="6" t="s">
        <v>179</v>
      </c>
      <c r="E5" s="7">
        <v>44943</v>
      </c>
      <c r="F5" s="8">
        <v>9900043529</v>
      </c>
      <c r="G5" t="s">
        <v>253</v>
      </c>
      <c r="H5" s="9" t="s">
        <v>254</v>
      </c>
      <c r="I5" s="10">
        <v>1</v>
      </c>
      <c r="J5" s="9" t="s">
        <v>254</v>
      </c>
      <c r="K5" s="11" t="s">
        <v>254</v>
      </c>
      <c r="L5" s="7">
        <v>44943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Sheet2</vt:lpstr>
      <vt:lpstr>Sheet1</vt:lpstr>
      <vt:lpstr>Recon</vt:lpstr>
      <vt:lpstr>L00</vt:lpstr>
      <vt:lpstr>Pivot</vt:lpstr>
      <vt:lpstr>Sheet6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Lakshmi A</dc:creator>
  <cp:lastModifiedBy>Vikas Gaikwad</cp:lastModifiedBy>
  <dcterms:created xsi:type="dcterms:W3CDTF">2023-01-19T07:32:58Z</dcterms:created>
  <dcterms:modified xsi:type="dcterms:W3CDTF">2023-03-08T08:17:12Z</dcterms:modified>
</cp:coreProperties>
</file>